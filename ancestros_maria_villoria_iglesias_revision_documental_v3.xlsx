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9665a918354ee5" /></Relationships>
</file>

<file path=xl/workbook.xml><?xml version="1.0" encoding="utf-8"?>
<x:workbook xmlns:x="http://schemas.openxmlformats.org/spreadsheetml/2006/main">
  <x:sheets>
    <x:sheet xmlns:r="http://schemas.openxmlformats.org/officeDocument/2006/relationships" name="Resumen" sheetId="1" r:id="Ra2e5fc78c58144ed"/>
    <x:sheet xmlns:r="http://schemas.openxmlformats.org/officeDocument/2006/relationships" name="Ancestros directos" sheetId="2" r:id="R22f785728e2a44bb"/>
    <x:sheet xmlns:r="http://schemas.openxmlformats.org/officeDocument/2006/relationships" name="Familia colateral" sheetId="3" r:id="Rea6dc624262d4d0b"/>
    <x:sheet xmlns:r="http://schemas.openxmlformats.org/officeDocument/2006/relationships" name="Huecos ascendencia" sheetId="4" r:id="Rddbc291f541e457f"/>
    <x:sheet xmlns:r="http://schemas.openxmlformats.org/officeDocument/2006/relationships" name="Pistas pendientes" sheetId="5" r:id="Rf710637465ad477e"/>
    <x:sheet xmlns:r="http://schemas.openxmlformats.org/officeDocument/2006/relationships" name="Fuentes" sheetId="6" r:id="R6c3f77a26bb2403a"/>
    <x:sheet xmlns:r="http://schemas.openxmlformats.org/officeDocument/2006/relationships" name="Dudas revisadas" sheetId="7" r:id="Rf924828f25ed4379"/>
    <x:sheet xmlns:r="http://schemas.openxmlformats.org/officeDocument/2006/relationships" name="Documentos revisados" sheetId="8" r:id="R073333b21c1a4f6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sz val="11"/>
      <x:color rgb="FF404040"/>
      <x:name val="Carlito"/>
    </x:font>
    <x:font>
      <x:b/>
      <x:sz val="11"/>
      <x:color rgb="FFFFFFFF"/>
      <x:name val="Carlito"/>
    </x:font>
    <x:font>
      <x:b/>
      <x:sz val="11"/>
      <x:color rgb="FF1F1F1F"/>
      <x:name val="Carlito"/>
    </x:font>
    <x:font>
      <x:b/>
      <x:sz val="14"/>
      <x:color rgb="FFFFFFFF"/>
      <x:name val="Carlito"/>
    </x:font>
  </x:fonts>
  <x:fills count="18">
    <x:fill>
      <x:patternFill patternType="none"/>
    </x:fill>
    <x:fill>
      <x:patternFill patternType="gray125"/>
    </x:fill>
    <x:fill>
      <x:patternFill patternType="solid">
        <x:fgColor rgb="FF1F4E78"/>
      </x:patternFill>
    </x:fill>
    <x:fill>
      <x:patternFill patternType="solid">
        <x:fgColor rgb="FFF3F6F9"/>
      </x:patternFill>
    </x:fill>
    <x:fill>
      <x:patternFill patternType="solid">
        <x:fgColor rgb="FF5B9BD5"/>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E2F0D9"/>
      </x:patternFill>
    </x:fill>
    <x:fill>
      <x:patternFill patternType="solid">
        <x:fgColor rgb="FFFCE4D6"/>
      </x:patternFill>
    </x:fill>
    <x:fill>
      <x:patternFill patternType="solid">
        <x:fgColor rgb="FFE2F0D9"/>
      </x:patternFill>
    </x:fill>
    <x:fill>
      <x:patternFill patternType="solid">
        <x:fgColor rgb="FFFFF2CC"/>
      </x:patternFill>
    </x:fill>
    <x:fill>
      <x:patternFill patternType="solid">
        <x:fgColor rgb="FFFFF2CC"/>
      </x:patternFill>
    </x:fill>
    <x:fill>
      <x:patternFill patternType="solid">
        <x:fgColor rgb="FFFCE4D6"/>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E7E6E6"/>
      </x:patternFill>
    </x:fill>
  </x:fills>
  <x:borders count="2">
    <x:border/>
    <x:border/>
  </x:borders>
  <x:cellStyleXfs count="1">
    <x:xf numFmtId="0" fontId="0" fillId="0" borderId="0"/>
  </x:cellStyleXfs>
  <x:cellXfs count="8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left"/>
    </x:xf>
    <x:xf numFmtId="0" fontId="4" fillId="5" borderId="0" xfId="0" applyNumberFormat="1" applyFont="1" applyFill="1" applyBorder="1" applyAlignment="1">
      <x:alignment horizontal="lef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left"/>
    </x:xf>
    <x:xf numFmtId="0" fontId="4" fillId="5" borderId="1" xfId="0" applyNumberFormat="1" applyFont="1" applyFill="1" applyBorder="1" applyAlignment="1">
      <x:alignment horizontal="left" vertical="center"/>
    </x:xf>
    <x:xf numFmtId="0" fontId="0" fillId="0"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5" fillId="7" borderId="0" xfId="0" applyNumberFormat="1" applyFont="1" applyFill="1" applyBorder="1" applyAlignment="1">
      <x:alignment horizontal="center" vertical="center"/>
    </x:xf>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0" fillId="8" borderId="0" xfId="0" applyNumberFormat="1" applyFont="1" applyFill="1" applyBorder="1"/>
    <x:xf numFmtId="0" fontId="0" fillId="9" borderId="0" xfId="0" applyNumberFormat="1" applyFont="1" applyFill="1" applyBorder="1"/>
    <x:xf numFmtId="0" fontId="0"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2" fillId="6" borderId="0"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xf numFmtId="0" fontId="4" fillId="5" borderId="0" xfId="0" applyNumberFormat="1" applyFont="1" applyFill="1" applyBorder="1" applyAlignment="1">
      <x:alignment horizontal="left" vertical="center"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10" borderId="0" xfId="0" applyNumberFormat="1" applyFont="1" applyFill="1" applyBorder="1" applyAlignment="1">
      <x:alignment wrapText="1"/>
    </x:xf>
    <x:xf numFmtId="0" fontId="0" fillId="11" borderId="0" xfId="0" applyNumberFormat="1" applyFont="1" applyFill="1" applyBorder="1" applyAlignment="1">
      <x:alignment wrapText="1"/>
    </x:xf>
    <x:xf numFmtId="0" fontId="0" fillId="11" borderId="0" xfId="0" applyNumberFormat="1" applyFont="1" applyFill="1" applyBorder="1"/>
    <x:xf numFmtId="0" fontId="0" fillId="12" borderId="0" xfId="0" applyNumberFormat="1" applyFont="1" applyFill="1" applyBorder="1" applyAlignment="1">
      <x:alignment wrapText="1"/>
    </x:xf>
    <x:xf numFmtId="0" fontId="0" fillId="12" borderId="0" xfId="0" applyNumberFormat="1" applyFont="1" applyFill="1" applyBorder="1"/>
    <x:xf numFmtId="0" fontId="0" fillId="13" borderId="0" xfId="0" applyNumberFormat="1" applyFont="1" applyFill="1" applyBorder="1" applyAlignment="1">
      <x:alignment wrapText="1"/>
    </x:xf>
    <x:xf numFmtId="0" fontId="0" fillId="14" borderId="0" xfId="0" applyNumberFormat="1" applyFont="1" applyFill="1" applyBorder="1"/>
    <x:xf numFmtId="0" fontId="5" fillId="14" borderId="0" xfId="0" applyNumberFormat="1" applyFont="1" applyFill="1" applyBorder="1"/>
    <x:xf numFmtId="0" fontId="5" fillId="14" borderId="0" xfId="0" applyNumberFormat="1" applyFont="1" applyFill="1" applyBorder="1" applyAlignment="1">
      <x:alignment horizontal="center"/>
    </x:xf>
    <x:xf numFmtId="0" fontId="5" fillId="14" borderId="0" xfId="0" applyNumberFormat="1" applyFont="1" applyFill="1" applyBorder="1" applyAlignment="1">
      <x:alignment horizontal="center" vertical="center"/>
    </x:xf>
    <x:xf numFmtId="0" fontId="0" fillId="15" borderId="0" xfId="0" applyNumberFormat="1" applyFont="1" applyFill="1" applyBorder="1"/>
    <x:xf numFmtId="0" fontId="0" fillId="15" borderId="0" xfId="0" applyNumberFormat="1" applyFont="1" applyFill="1" applyBorder="1" applyAlignment="1">
      <x:alignment wrapText="1"/>
    </x:xf>
    <x:xf numFmtId="0" fontId="3" fillId="14" borderId="0" xfId="0" applyNumberFormat="1" applyFont="1" applyFill="1" applyBorder="1"/>
    <x:xf numFmtId="0" fontId="3"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3" fillId="14" borderId="0" xfId="0" applyNumberFormat="1" applyFont="1" applyFill="1" applyBorder="1" applyAlignment="1">
      <x:alignment horizontal="center" vertical="center" wrapText="1"/>
    </x:xf>
    <x:xf numFmtId="0" fontId="0" fillId="16" borderId="0" xfId="0" applyNumberFormat="1" applyFont="1" applyFill="1" applyBorder="1" applyAlignment="1">
      <x:alignment wrapText="1"/>
    </x:xf>
    <x:xf numFmtId="0" fontId="0" fillId="17" borderId="0" xfId="0" applyNumberFormat="1" applyFont="1" applyFill="1" applyBorder="1" applyAlignment="1">
      <x:alignment wrapText="1"/>
    </x:xf>
  </x:cellXfs>
  <x:cellStyles count="1">
    <x:cellStyle name="Normal" xfId="0"/>
  </x:cellStyles>
  <x:dxfs count="12">
    <x:dxf>
      <x:font>
        <x:b/>
        <x:color rgb="FF3857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color rgb="FF385723"/>
      </x:font>
      <x:fill>
        <x:patternFill>
          <x:bgColor rgb="FFE2F0D9"/>
        </x:patternFill>
      </x:fill>
    </x:dxf>
    <x:dxf>
      <x:font>
        <x:b/>
        <x:color rgb="FF7F6000"/>
      </x:font>
      <x:fill>
        <x:patternFill>
          <x:bgColor rgb="FFFFF2CC"/>
        </x:patternFill>
      </x:fill>
    </x:dxf>
    <x:dxf>
      <x:font>
        <x:b/>
        <x:color rgb="FF9C0006"/>
      </x:font>
      <x:fill>
        <x:patternFill>
          <x:bgColor rgb="FFFCE4D6"/>
        </x:patternFill>
      </x:fill>
    </x:dxf>
    <x:dxf>
      <x:font>
        <x:b/>
      </x:font>
      <x:fill>
        <x:patternFill>
          <x:bgColor rgb="FFF4CCCC"/>
        </x:patternFill>
      </x:fill>
    </x:dxf>
    <x:dxf>
      <x:font>
        <x:b/>
      </x:font>
      <x:fill>
        <x:patternFill>
          <x:bgColor rgb="FFFFF2CC"/>
        </x:patternFill>
      </x:fill>
    </x:dxf>
    <x:dxf>
      <x:font>
        <x:b/>
        <x:color rgb="FF7F6000"/>
      </x:font>
      <x:fill>
        <x:patternFill>
          <x:bgColor rgb="FFFFF2CC"/>
        </x:patternFill>
      </x:fill>
    </x:dxf>
    <x:dxf>
      <x:font>
        <x:b/>
        <x:color rgb="FF9C0006"/>
      </x:font>
      <x:fill>
        <x:patternFill>
          <x:bgColor rgb="FFFCE4D6"/>
        </x:patternFill>
      </x:fill>
    </x:dxf>
    <x:dxf>
      <x:font>
        <x:b/>
      </x:font>
      <x:fill>
        <x:patternFill>
          <x:bgColor rgb="FFF4CCCC"/>
        </x:patternFill>
      </x:fill>
    </x:dxf>
    <x:dxf>
      <x:font>
        <x:b/>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0ab1f4fc7fe4ae6" /><Relationship Type="http://schemas.openxmlformats.org/officeDocument/2006/relationships/theme" Target="/xl/theme/theme1.xml" Id="Rf269d3671e4b4915" /><Relationship Type="http://schemas.openxmlformats.org/officeDocument/2006/relationships/sharedStrings" Target="/xl/sharedStrings.xml" Id="Rc4f000f8827e4704" /><Relationship Type="http://schemas.openxmlformats.org/officeDocument/2006/relationships/worksheet" Target="/xl/worksheets/sheet1.xml" Id="Ra2e5fc78c58144ed" /><Relationship Type="http://schemas.openxmlformats.org/officeDocument/2006/relationships/worksheet" Target="/xl/worksheets/sheet2.xml" Id="R22f785728e2a44bb" /><Relationship Type="http://schemas.openxmlformats.org/officeDocument/2006/relationships/worksheet" Target="/xl/worksheets/sheet3.xml" Id="Rea6dc624262d4d0b" /><Relationship Type="http://schemas.openxmlformats.org/officeDocument/2006/relationships/worksheet" Target="/xl/worksheets/sheet4.xml" Id="Rddbc291f541e457f" /><Relationship Type="http://schemas.openxmlformats.org/officeDocument/2006/relationships/worksheet" Target="/xl/worksheets/sheet5.xml" Id="Rf710637465ad477e" /><Relationship Type="http://schemas.openxmlformats.org/officeDocument/2006/relationships/worksheet" Target="/xl/worksheets/sheet6.xml" Id="R6c3f77a26bb2403a" /><Relationship Type="http://schemas.openxmlformats.org/officeDocument/2006/relationships/worksheet" Target="/xl/worksheets/sheet7.xml" Id="Rf924828f25ed4379" /><Relationship Type="http://schemas.openxmlformats.org/officeDocument/2006/relationships/worksheet" Target="/xl/worksheets/sheet8.xml" Id="R073333b21c1a4f6a" /></Relationships>
</file>

<file path=xl/tables/table1.xml><?xml version="1.0" encoding="utf-8"?>
<x:table xmlns:x="http://schemas.openxmlformats.org/spreadsheetml/2006/main" id="1" name="AncestrosDirectosTable" displayName="AncestrosDirectosTable" ref="A3:N10" headerRowCount="1" totalsRowCount="0" totalsRowShown="0">
  <x:tableColumns count="14">
    <x:tableColumn id="1" name="ID"/>
    <x:tableColumn id="2" name="Generación"/>
    <x:tableColumn id="3" name="Parentesco"/>
    <x:tableColumn id="4" name="Nombre completo"/>
    <x:tableColumn id="5" name="Nacimiento"/>
    <x:tableColumn id="6" name="Lugar nacimiento"/>
    <x:tableColumn id="7" name="Defunción"/>
    <x:tableColumn id="8" name="Lugar defunción"/>
    <x:tableColumn id="9" name="Padre ID"/>
    <x:tableColumn id="10" name="Madre ID"/>
    <x:tableColumn id="11" name="Cónyuge ID"/>
    <x:tableColumn id="12" name="Estado"/>
    <x:tableColumn id="13" name="Notas"/>
    <x:tableColumn id="14" name="Fuente / URL"/>
  </x:tableColumns>
  <x:tableStyleInfo name="TableStyleMedium2" showFirstColumn="0" showLastColumn="0" showRowStripes="1" showColumnStripes="0"/>
</x:table>
</file>

<file path=xl/tables/table2.xml><?xml version="1.0" encoding="utf-8"?>
<x:table xmlns:x="http://schemas.openxmlformats.org/spreadsheetml/2006/main" id="2" name="FamiliaColateralTable" displayName="FamiliaColateralTable" ref="A3:K8" headerRowCount="1" totalsRowCount="0" totalsRowShown="0">
  <x:tableColumns count="11">
    <x:tableColumn id="1" name="ID"/>
    <x:tableColumn id="2" name="Parentesco con María"/>
    <x:tableColumn id="3" name="Nombre"/>
    <x:tableColumn id="4" name="Nacimiento"/>
    <x:tableColumn id="5" name="Defunción"/>
    <x:tableColumn id="6" name="Padre ID"/>
    <x:tableColumn id="7" name="Madre ID"/>
    <x:tableColumn id="8" name="Vínculo"/>
    <x:tableColumn id="9" name="Estado"/>
    <x:tableColumn id="10" name="Notas"/>
    <x:tableColumn id="11" name="Fuente / URL"/>
  </x:tableColumns>
  <x:tableStyleInfo name="TableStyleMedium2" showFirstColumn="0" showLastColumn="0" showRowStripes="1" showColumnStripes="0"/>
</x:table>
</file>

<file path=xl/tables/table3.xml><?xml version="1.0" encoding="utf-8"?>
<x:table xmlns:x="http://schemas.openxmlformats.org/spreadsheetml/2006/main" id="3" name="HuecosAscendenciaTable" displayName="HuecosAscendenciaTable" ref="A3:H11" headerRowCount="1" totalsRowCount="0" totalsRowShown="0">
  <x:tableColumns count="8">
    <x:tableColumn id="1" name="Slot"/>
    <x:tableColumn id="2" name="Generación"/>
    <x:tableColumn id="3" name="Relación"/>
    <x:tableColumn id="4" name="Hijo/a conocido/a"/>
    <x:tableColumn id="5" name="Línea"/>
    <x:tableColumn id="6" name="Estado"/>
    <x:tableColumn id="7" name="Pista principal"/>
    <x:tableColumn id="8" name="Prioridad"/>
  </x:tableColumns>
  <x:tableStyleInfo name="TableStyleMedium2" showFirstColumn="0" showLastColumn="0" showRowStripes="1" showColumnStripes="0"/>
</x:table>
</file>

<file path=xl/tables/table4.xml><?xml version="1.0" encoding="utf-8"?>
<x:table xmlns:x="http://schemas.openxmlformats.org/spreadsheetml/2006/main" id="4" name="PistasPendientesTable" displayName="PistasPendientesTable" ref="A3:J11" headerRowCount="1" totalsRowCount="0" totalsRowShown="0">
  <x:tableColumns count="10">
    <x:tableColumn id="1" name="ID"/>
    <x:tableColumn id="2" name="Nombre"/>
    <x:tableColumn id="3" name="Nacimiento"/>
    <x:tableColumn id="4" name="Lugar nacimiento"/>
    <x:tableColumn id="5" name="Defunción"/>
    <x:tableColumn id="6" name="Lugar defunción"/>
    <x:tableColumn id="7" name="Posible relación"/>
    <x:tableColumn id="8" name="Estado"/>
    <x:tableColumn id="9" name="Prioridad"/>
    <x:tableColumn id="10" name="Evidencia / fuente"/>
  </x:tableColumns>
  <x:tableStyleInfo name="TableStyleMedium2" showFirstColumn="0" showLastColumn="0" showRowStripes="1" showColumnStripes="0"/>
</x:table>
</file>

<file path=xl/tables/table5.xml><?xml version="1.0" encoding="utf-8"?>
<x:table xmlns:x="http://schemas.openxmlformats.org/spreadsheetml/2006/main" id="5" name="FuentesTable" displayName="FuentesTable" ref="A3:E12" headerRowCount="1" totalsRowCount="0" totalsRowShown="0">
  <x:tableColumns count="5">
    <x:tableColumn id="1" name="ID"/>
    <x:tableColumn id="2" name="Fuente"/>
    <x:tableColumn id="3" name="Qué sostiene"/>
    <x:tableColumn id="4" name="Nivel"/>
    <x:tableColumn id="5"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2480d9b22f48ec" /></Relationships>
</file>

<file path=xl/worksheets/_rels/sheet3.xml.rels>&#65279;<?xml version="1.0" encoding="utf-8"?><Relationships xmlns="http://schemas.openxmlformats.org/package/2006/relationships"><Relationship Type="http://schemas.openxmlformats.org/officeDocument/2006/relationships/table" Target="/xl/tables/table2.xml" Id="R4b5ddbc52b7749b8" /></Relationships>
</file>

<file path=xl/worksheets/_rels/sheet4.xml.rels>&#65279;<?xml version="1.0" encoding="utf-8"?><Relationships xmlns="http://schemas.openxmlformats.org/package/2006/relationships"><Relationship Type="http://schemas.openxmlformats.org/officeDocument/2006/relationships/table" Target="/xl/tables/table3.xml" Id="R21680c8d324f4a1a" /></Relationships>
</file>

<file path=xl/worksheets/_rels/sheet5.xml.rels>&#65279;<?xml version="1.0" encoding="utf-8"?><Relationships xmlns="http://schemas.openxmlformats.org/package/2006/relationships"><Relationship Type="http://schemas.openxmlformats.org/officeDocument/2006/relationships/table" Target="/xl/tables/table4.xml" Id="Rc33db7d5372c4ca5" /></Relationships>
</file>

<file path=xl/worksheets/_rels/sheet6.xml.rels>&#65279;<?xml version="1.0" encoding="utf-8"?><Relationships xmlns="http://schemas.openxmlformats.org/package/2006/relationships"><Relationship Type="http://schemas.openxmlformats.org/officeDocument/2006/relationships/table" Target="/xl/tables/table5.xml" Id="Re54f12cb6a374669" /></Relationships>
</file>

<file path=xl/worksheets/sheet1.xml><?xml version="1.0" encoding="utf-8"?>
<x:worksheet xmlns:x="http://schemas.openxmlformats.org/spreadsheetml/2006/main">
  <x:sheetFormatPr defaultRowHeight="15"/>
  <x:cols>
    <x:col min="1" max="1" width="31" hidden="0" customWidth="1"/>
    <x:col min="2" max="2" width="23" hidden="0" customWidth="1"/>
    <x:col min="3" max="3" width="23" hidden="0" customWidth="1"/>
    <x:col min="4" max="4" width="22" hidden="0" customWidth="1"/>
    <x:col min="5" max="5" width="31" hidden="0" customWidth="1"/>
    <x:col min="6" max="6" width="42" hidden="0" customWidth="1"/>
  </x:cols>
  <x:sheetData>
    <x:row r="1" ht="28" customHeight="1">
      <x:c r="A1" s="54" t="str">
        <x:v>Genealogía de María Villoria Iglesias</x:v>
      </x:c>
      <x:c r="B1" s="54"/>
      <x:c r="C1" s="54"/>
      <x:c r="D1" s="54"/>
      <x:c r="E1" s="54"/>
      <x:c r="F1" s="54"/>
    </x:row>
    <x:row r="2" ht="42" customHeight="1">
      <x:c r="A2" s="53" t="str">
        <x:v>Actualizado con una nueva pasada web (16/09/2026). Los parentescos demostrados se separan de las coincidencias de nombre y de las hipótesis.</x:v>
      </x:c>
      <x:c r="B2" s="53"/>
      <x:c r="C2" s="53"/>
      <x:c r="D2" s="53"/>
      <x:c r="E2" s="53"/>
      <x:c r="F2" s="53"/>
    </x:row>
    <x:row r="3">
      <x:c r="A3" s="28"/>
      <x:c r="B3" s="28"/>
      <x:c r="C3" s="28"/>
      <x:c r="D3" s="28"/>
      <x:c r="E3" s="28"/>
      <x:c r="F3" s="28"/>
    </x:row>
    <x:row r="4">
      <x:c r="A4" s="22" t="str">
        <x:v>Indicador</x:v>
      </x:c>
      <x:c r="B4" s="22" t="str">
        <x:v>Valor</x:v>
      </x:c>
      <x:c r="C4" s="28"/>
      <x:c r="D4" s="22" t="str">
        <x:v>Leyenda</x:v>
      </x:c>
      <x:c r="E4" s="22" t="str">
        <x:v>Significado</x:v>
      </x:c>
      <x:c r="F4" s="22" t="str">
        <x:v>Uso</x:v>
      </x:c>
    </x:row>
    <x:row r="5">
      <x:c r="A5" s="28" t="str">
        <x:v>Personas en línea directa conocidas</x:v>
      </x:c>
      <x:c r="B5" s="28" t="n">
        <x:f>COUNTA('Ancestros directos'!D4:D100)</x:f>
        <x:v>7</x:v>
      </x:c>
      <x:c r="C5" s="28"/>
      <x:c r="D5" s="28" t="str">
        <x:v>Confirmado</x:v>
      </x:c>
      <x:c r="E5" s="28" t="str">
        <x:v>Parentesco sustentado por la esquela o por dato directo del usuario</x:v>
      </x:c>
      <x:c r="F5" s="28" t="str">
        <x:v>Árbol principal</x:v>
      </x:c>
    </x:row>
    <x:row r="6">
      <x:c r="A6" s="28" t="str">
        <x:v>Personas directas confirmadas</x:v>
      </x:c>
      <x:c r="B6" s="28" t="n">
        <x:f>COUNTIF('Ancestros directos'!L4:L100,"Confirmado")</x:f>
        <x:v>7</x:v>
      </x:c>
      <x:c r="C6" s="28"/>
      <x:c r="D6" s="63" t="str">
        <x:v>Resuelto</x:v>
      </x:c>
      <x:c r="E6" s="63" t="str">
        <x:v>Relación aceptada como cerrada para este árbol cuando la evidencia es fuerte aunque no exista una filiación literal</x:v>
      </x:c>
      <x:c r="F6" s="63" t="str">
        <x:v>Árbol / relaciones</x:v>
      </x:c>
    </x:row>
    <x:row r="7">
      <x:c r="A7" s="28" t="str">
        <x:v>Generaciones con nombres conocidos</x:v>
      </x:c>
      <x:c r="B7" s="28" t="n">
        <x:f>MAX('Ancestros directos'!B4:B100)+1</x:f>
        <x:v>3</x:v>
      </x:c>
      <x:c r="C7" s="28"/>
      <x:c r="D7" s="28" t="str">
        <x:v>Pendiente</x:v>
      </x:c>
      <x:c r="E7" s="28" t="str">
        <x:v>Persona o conexión a investigar</x:v>
      </x:c>
      <x:c r="F7" s="28" t="str">
        <x:v>Pistas / huecos</x:v>
      </x:c>
    </x:row>
    <x:row r="8">
      <x:c r="A8" s="28" t="str">
        <x:v>Huecos de bisabuelos por identificar</x:v>
      </x:c>
      <x:c r="B8" s="28" t="n">
        <x:f>COUNTA('Huecos ascendencia'!A4:A20)</x:f>
        <x:v>8</x:v>
      </x:c>
      <x:c r="C8" s="28"/>
      <x:c r="D8" s="28"/>
      <x:c r="E8" s="28"/>
      <x:c r="F8" s="28"/>
    </x:row>
    <x:row r="9">
      <x:c r="A9" s="28" t="str">
        <x:v>Pistas de parentesco pendientes</x:v>
      </x:c>
      <x:c r="B9" s="39" t="n">
        <x:v>10</x:v>
      </x:c>
      <x:c r="C9" s="28"/>
      <x:c r="D9" s="28"/>
      <x:c r="E9" s="28"/>
      <x:c r="F9" s="28"/>
    </x:row>
    <x:row r="10">
      <x:c r="A10" s="28"/>
      <x:c r="B10" s="28"/>
      <x:c r="C10" s="28"/>
      <x:c r="D10" s="28"/>
      <x:c r="E10" s="28"/>
      <x:c r="F10" s="28"/>
    </x:row>
    <x:row r="11">
      <x:c r="A11" s="55" t="str">
        <x:v>Estado actual del árbol</x:v>
      </x:c>
      <x:c r="B11" s="55"/>
      <x:c r="C11" s="55"/>
      <x:c r="D11" s="55"/>
      <x:c r="E11" s="55"/>
      <x:c r="F11" s="55"/>
    </x:row>
    <x:row r="12">
      <x:c r="A12" s="22" t="str">
        <x:v>Rama</x:v>
      </x:c>
      <x:c r="B12" s="22" t="str">
        <x:v>Abuelo/a 1</x:v>
      </x:c>
      <x:c r="C12" s="22" t="str">
        <x:v>Abuelo/a 2</x:v>
      </x:c>
      <x:c r="D12" s="22" t="str">
        <x:v>Bisabuelos identificados</x:v>
      </x:c>
      <x:c r="E12" s="22" t="str">
        <x:v>Localizaciones útiles</x:v>
      </x:c>
      <x:c r="F12" s="22" t="str">
        <x:v>Siguiente objetivo</x:v>
      </x:c>
    </x:row>
    <x:row r="13">
      <x:c r="A13" s="28" t="str">
        <x:v>Paterna</x:v>
      </x:c>
      <x:c r="B13" s="28" t="str">
        <x:v>Víctor Villoria Díaz</x:v>
      </x:c>
      <x:c r="C13" s="28" t="str">
        <x:v>Natividad Ordóñez Fernández</x:v>
      </x:c>
      <x:c r="D13" s="28" t="n">
        <x:v>0</x:v>
      </x:c>
      <x:c r="E13" s="28" t="str">
        <x:v>Oviedo / Moreda de Aller</x:v>
      </x:c>
      <x:c r="F13" s="28" t="str">
        <x:v>Padres de Víctor y Natividad</x:v>
      </x:c>
    </x:row>
    <x:row r="14">
      <x:c r="A14" s="28" t="str">
        <x:v>Materna</x:v>
      </x:c>
      <x:c r="B14" s="28" t="str">
        <x:v>José Luis Iglesias Ballina</x:v>
      </x:c>
      <x:c r="C14" s="28" t="str">
        <x:v>Isabel María Carbajo Acebal</x:v>
      </x:c>
      <x:c r="D14" s="28" t="n">
        <x:v>0</x:v>
      </x:c>
      <x:c r="E14" s="28" t="str">
        <x:v>Asturias / Vigo-Pontevedra (pista)</x:v>
      </x:c>
      <x:c r="F14" s="28" t="str">
        <x:v>Padres de José Luis e Isabel María</x:v>
      </x:c>
    </x:row>
    <x:row r="15">
      <x:c r="A15" s="28" t="str"/>
      <x:c r="B15" s="28" t="str"/>
      <x:c r="C15" s="28" t="str"/>
      <x:c r="D15" s="28" t="str"/>
      <x:c r="E15" s="28" t="str"/>
      <x:c r="F15" s="28" t="str"/>
    </x:row>
    <x:row r="16">
      <x:c r="A16" s="66" t="str">
        <x:v>Pasada documental amplia</x:v>
      </x:c>
      <x:c r="B16" s="66" t="str">
        <x:v>Se han inventariado 24 documentos/registros: esquelas, BOE/BORME, archivos militares, HUNOSA, prensa y fuentes históricas.</x:v>
      </x:c>
      <x:c r="C16" s="66"/>
      <x:c r="D16" s="66" t="str">
        <x:v>Conclusión</x:v>
      </x:c>
      <x:c r="E16" s="66" t="str">
        <x:v>Todavía no aparece un documento que nombre directamente a los padres de Víctor, Natividad, José Luis o Isabel María.</x:v>
      </x:c>
      <x:c r="F16" s="66" t="str">
        <x:v>Prioridad: partidas/esquelas con filiación en Moreda-Aller y Vigo.</x:v>
      </x:c>
    </x:row>
  </x:sheetData>
  <x:mergeCells>
    <x:mergeCell ref="A1:F1"/>
    <x:mergeCell ref="A2:F2"/>
    <x:mergeCell ref="A11:F1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20" hidden="0" customWidth="1"/>
    <x:col min="4" max="4" width="28" hidden="0" customWidth="1"/>
    <x:col min="5" max="5" width="22" hidden="0" customWidth="1"/>
    <x:col min="6" max="6" width="19" hidden="0" customWidth="1"/>
    <x:col min="7" max="7" width="19" hidden="0" customWidth="1"/>
    <x:col min="8" max="8" width="19" hidden="0" customWidth="1"/>
    <x:col min="9" max="9" width="11" hidden="0" customWidth="1"/>
    <x:col min="10" max="10" width="11" hidden="0" customWidth="1"/>
    <x:col min="11" max="11" width="12" hidden="0" customWidth="1"/>
    <x:col min="12" max="12" width="18" hidden="0" customWidth="1"/>
    <x:col min="13" max="13" width="58" hidden="0" customWidth="1"/>
    <x:col min="14" max="14" width="52" hidden="0" customWidth="1"/>
  </x:cols>
  <x:sheetData>
    <x:row r="1" ht="28" customHeight="1">
      <x:c r="A1" s="5" t="str">
        <x:v>Línea directa conocida de María Villoria Iglesias</x:v>
      </x:c>
      <x:c r="B1" s="5"/>
      <x:c r="C1" s="5"/>
      <x:c r="D1" s="5"/>
      <x:c r="E1" s="5"/>
      <x:c r="F1" s="5"/>
      <x:c r="G1" s="5"/>
      <x:c r="H1" s="5"/>
      <x:c r="I1" s="5"/>
      <x:c r="J1" s="5"/>
      <x:c r="K1" s="5"/>
      <x:c r="L1" s="5"/>
      <x:c r="M1" s="5"/>
      <x:c r="N1" s="5"/>
    </x:row>
    <x:row r="2" ht="42" customHeight="1">
      <x:c r="A2" s="13" t="str">
        <x:v>Generación 0 = María; 1 = padres; 2 = abuelos. No se han incorporado bisabuelos sin filiación demostrada.</x:v>
      </x:c>
      <x:c r="B2" s="13"/>
      <x:c r="C2" s="13"/>
      <x:c r="D2" s="13"/>
      <x:c r="E2" s="13"/>
      <x:c r="F2" s="13"/>
      <x:c r="G2" s="13"/>
      <x:c r="H2" s="13"/>
      <x:c r="I2" s="13"/>
      <x:c r="J2" s="13"/>
      <x:c r="K2" s="13"/>
      <x:c r="L2" s="13"/>
      <x:c r="M2" s="13"/>
      <x:c r="N2" s="13"/>
    </x:row>
    <x:row r="3">
      <x:c r="A3" s="22" t="str">
        <x:v>ID</x:v>
      </x:c>
      <x:c r="B3" s="22" t="str">
        <x:v>Generación</x:v>
      </x:c>
      <x:c r="C3" s="22" t="str">
        <x:v>Parentesco</x:v>
      </x:c>
      <x:c r="D3" s="22" t="str">
        <x:v>Nombre completo</x:v>
      </x:c>
      <x:c r="E3" s="22" t="str">
        <x:v>Nacimiento</x:v>
      </x:c>
      <x:c r="F3" s="22" t="str">
        <x:v>Lugar nacimiento</x:v>
      </x:c>
      <x:c r="G3" s="22" t="str">
        <x:v>Defunción</x:v>
      </x:c>
      <x:c r="H3" s="22" t="str">
        <x:v>Lugar defunción</x:v>
      </x:c>
      <x:c r="I3" s="22" t="str">
        <x:v>Padre ID</x:v>
      </x:c>
      <x:c r="J3" s="22" t="str">
        <x:v>Madre ID</x:v>
      </x:c>
      <x:c r="K3" s="22" t="str">
        <x:v>Cónyuge ID</x:v>
      </x:c>
      <x:c r="L3" s="22" t="str">
        <x:v>Estado</x:v>
      </x:c>
      <x:c r="M3" s="22" t="str">
        <x:v>Notas</x:v>
      </x:c>
      <x:c r="N3" s="22" t="str">
        <x:v>Fuente / URL</x:v>
      </x:c>
    </x:row>
    <x:row r="4">
      <x:c r="A4" s="28" t="str">
        <x:v>M001</x:v>
      </x:c>
      <x:c r="B4" s="28" t="n">
        <x:v>0</x:v>
      </x:c>
      <x:c r="C4" s="28" t="str">
        <x:v>Persona raíz</x:v>
      </x:c>
      <x:c r="D4" s="28" t="str">
        <x:v>María Villoria Iglesias</x:v>
      </x:c>
      <x:c r="E4" s="28" t="str">
        <x:v>08/08/1995</x:v>
      </x:c>
      <x:c r="F4" s="28" t="str"/>
      <x:c r="G4" s="28" t="str"/>
      <x:c r="H4" s="28" t="str"/>
      <x:c r="I4" s="28" t="str">
        <x:v>P001</x:v>
      </x:c>
      <x:c r="J4" s="28" t="str">
        <x:v>P002</x:v>
      </x:c>
      <x:c r="K4" s="28" t="str"/>
      <x:c r="L4" s="28" t="str">
        <x:v>Confirmado</x:v>
      </x:c>
      <x:c r="M4" s="28" t="str">
        <x:v>Hermana de Luis Villoria Iglesias.</x:v>
      </x:c>
      <x:c r="N4" s="28" t="str">
        <x:v>Dato aportado por el usuario</x:v>
      </x:c>
    </x:row>
    <x:row r="5">
      <x:c r="A5" s="28" t="str">
        <x:v>P001</x:v>
      </x:c>
      <x:c r="B5" s="28" t="n">
        <x:v>1</x:v>
      </x:c>
      <x:c r="C5" s="28" t="str">
        <x:v>Padre</x:v>
      </x:c>
      <x:c r="D5" s="28" t="str">
        <x:v>Luis Ángel Villoria Ordóñez</x:v>
      </x:c>
      <x:c r="E5" s="28" t="str">
        <x:v>1958</x:v>
      </x:c>
      <x:c r="F5" s="28" t="str"/>
      <x:c r="G5" s="28" t="str">
        <x:v>23/12/2024</x:v>
      </x:c>
      <x:c r="H5" s="28" t="str">
        <x:v>Oviedo</x:v>
      </x:c>
      <x:c r="I5" s="28" t="str">
        <x:v>G001</x:v>
      </x:c>
      <x:c r="J5" s="28" t="str">
        <x:v>G002</x:v>
      </x:c>
      <x:c r="K5" s="28" t="str">
        <x:v>P002</x:v>
      </x:c>
      <x:c r="L5" s="28" t="str">
        <x:v>Confirmado</x:v>
      </x:c>
      <x:c r="M5" s="28" t="str">
        <x:v>Médico; falleció a los 66 años. Entierro en el cementerio de El Salvador.</x:v>
      </x:c>
      <x:c r="N5" s="28" t="str">
        <x:v>https://esquelasdeasturias.com/fallecidos/luis-angel-villoria-ordonez_145108/esquelas/</x:v>
      </x:c>
    </x:row>
    <x:row r="6">
      <x:c r="A6" s="28" t="str">
        <x:v>P002</x:v>
      </x:c>
      <x:c r="B6" s="28" t="n">
        <x:v>1</x:v>
      </x:c>
      <x:c r="C6" s="28" t="str">
        <x:v>Madre</x:v>
      </x:c>
      <x:c r="D6" s="28" t="str">
        <x:v>Ana Isabel Iglesias Carbajo</x:v>
      </x:c>
      <x:c r="E6" s="28" t="str"/>
      <x:c r="F6" s="28" t="str"/>
      <x:c r="G6" s="28" t="str"/>
      <x:c r="H6" s="28" t="str"/>
      <x:c r="I6" s="28" t="str">
        <x:v>G003</x:v>
      </x:c>
      <x:c r="J6" s="28" t="str">
        <x:v>G004</x:v>
      </x:c>
      <x:c r="K6" s="28" t="str">
        <x:v>P001</x:v>
      </x:c>
      <x:c r="L6" s="28" t="str">
        <x:v>Confirmado</x:v>
      </x:c>
      <x:c r="M6" s="28" t="str">
        <x:v>Esposa de Luis Ángel Villoria Ordóñez.</x:v>
      </x:c>
      <x:c r="N6" s="28" t="str">
        <x:v>https://esquelasdeasturias.com/fallecidos/luis-angel-villoria-ordonez_145108/esquelas/</x:v>
      </x:c>
    </x:row>
    <x:row r="7">
      <x:c r="A7" s="28" t="str">
        <x:v>G001</x:v>
      </x:c>
      <x:c r="B7" s="28" t="n">
        <x:v>2</x:v>
      </x:c>
      <x:c r="C7" s="28" t="str">
        <x:v>Abuelo paterno</x:v>
      </x:c>
      <x:c r="D7" s="28" t="str">
        <x:v>Víctor Villoria Díaz</x:v>
      </x:c>
      <x:c r="E7" s="39" t="str">
        <x:v>c. 1928–1929 (estimado por edad)</x:v>
      </x:c>
      <x:c r="F7" s="39"/>
      <x:c r="G7" s="39" t="str">
        <x:v>22/09/2017</x:v>
      </x:c>
      <x:c r="H7" s="39" t="str">
        <x:v>Oviedo</x:v>
      </x:c>
      <x:c r="I7" s="39"/>
      <x:c r="J7" s="39"/>
      <x:c r="K7" s="39" t="str">
        <x:v>G002</x:v>
      </x:c>
      <x:c r="L7" s="39" t="str">
        <x:v>Confirmado</x:v>
      </x:c>
      <x:c r="M7" s="39" t="str">
        <x:v>Falleció a los 88 años. Su esquela confirma esposa Natividad Ordóñez Fernández, hijos Luis Ángel y Juan Ignacio, hermano Faustino Villoria Díaz (†) y entierro en Moreda de Aller. La esquela no nombra a sus padres.</x:v>
      </x:c>
      <x:c r="N7" s="39" t="str">
        <x:v>https://www.infoesquelas.com/asturias/esquelas/oviedo/don-victor-villoria-diaz/36984</x:v>
      </x:c>
    </x:row>
    <x:row r="8">
      <x:c r="A8" s="28" t="str">
        <x:v>G002</x:v>
      </x:c>
      <x:c r="B8" s="28" t="n">
        <x:v>2</x:v>
      </x:c>
      <x:c r="C8" s="28" t="str">
        <x:v>Abuela paterna</x:v>
      </x:c>
      <x:c r="D8" s="28" t="str">
        <x:v>Natividad Ordóñez Fernández</x:v>
      </x:c>
      <x:c r="E8" s="28" t="str"/>
      <x:c r="F8" s="28" t="str"/>
      <x:c r="G8" s="28" t="str"/>
      <x:c r="H8" s="28" t="str"/>
      <x:c r="I8" s="28" t="str"/>
      <x:c r="J8" s="28" t="str"/>
      <x:c r="K8" s="28" t="str">
        <x:v>G001</x:v>
      </x:c>
      <x:c r="L8" s="39" t="str">
        <x:v>Confirmado</x:v>
      </x:c>
      <x:c r="M8" s="39" t="str">
        <x:v>La esquela de Víctor y la de Luis Ángel confirman que es la esposa de Víctor y madre de Luis Ángel/Juan Ignacio. El BOE de 07/08/1967 contiene una maestra llamada exactamente Natividad Ordóñez Fernández en Oviedo, pero no aporta edad ni filiación: posible misma persona, NO demostrado.</x:v>
      </x:c>
      <x:c r="N8" s="39" t="str">
        <x:v>https://boe.es/boe/dias/1967/08/07/pdfs/A11077-11102.pdf</x:v>
      </x:c>
    </x:row>
    <x:row r="9">
      <x:c r="A9" s="28" t="str">
        <x:v>G003</x:v>
      </x:c>
      <x:c r="B9" s="28" t="n">
        <x:v>2</x:v>
      </x:c>
      <x:c r="C9" s="28" t="str">
        <x:v>Abuelo materno</x:v>
      </x:c>
      <x:c r="D9" s="28" t="str">
        <x:v>José Luis Iglesias Ballina</x:v>
      </x:c>
      <x:c r="E9" s="28" t="str"/>
      <x:c r="F9" s="28" t="str"/>
      <x:c r="G9" s="28" t="str">
        <x:v>Antes de 23/12/2024</x:v>
      </x:c>
      <x:c r="H9" s="28" t="str"/>
      <x:c r="I9" s="28" t="str"/>
      <x:c r="J9" s="28" t="str"/>
      <x:c r="K9" s="28" t="str">
        <x:v>G004</x:v>
      </x:c>
      <x:c r="L9" s="28" t="str">
        <x:v>Confirmado</x:v>
      </x:c>
      <x:c r="M9" s="39" t="str">
        <x:v>La esquela de Luis Ángel lo identifica como suegro fallecido. El usuario lo identifica como fundador de PRONOR y confirma vínculos familiares con Vigo. Un José Luis Iglesias Ballina fue administrador solidario de Obras y Reparaciones Andrín SL (Llanes), sociedad de obras/fontanería/calefacción/gas, hasta 31/10/2006; coincidencia fuerte, pero la fuente mercantil no enlaza expresamente con PRONOR ni con la familia.</x:v>
      </x:c>
      <x:c r="N9" s="39" t="str">
        <x:v>https://www.iberinform.es/empresa/28578/obras-y-reparaciones-andrin</x:v>
      </x:c>
    </x:row>
    <x:row r="10">
      <x:c r="A10" s="28" t="str">
        <x:v>G004</x:v>
      </x:c>
      <x:c r="B10" s="28" t="n">
        <x:v>2</x:v>
      </x:c>
      <x:c r="C10" s="28" t="str">
        <x:v>Abuela materna</x:v>
      </x:c>
      <x:c r="D10" s="28" t="str">
        <x:v>Isabel María Carbajo Acebal</x:v>
      </x:c>
      <x:c r="E10" s="28" t="str"/>
      <x:c r="F10" s="28" t="str"/>
      <x:c r="G10" s="28" t="str"/>
      <x:c r="H10" s="28" t="str"/>
      <x:c r="I10" s="28" t="str"/>
      <x:c r="J10" s="28" t="str"/>
      <x:c r="K10" s="28" t="str">
        <x:v>G003</x:v>
      </x:c>
      <x:c r="L10" s="28" t="str">
        <x:v>Confirmado</x:v>
      </x:c>
      <x:c r="M10" s="28" t="str">
        <x:v>La esquela de Luis Ángel la identifica como suegra.</x:v>
      </x:c>
      <x:c r="N10" s="28" t="str">
        <x:v>https://esquelasdeasturias.com/fallecidos/luis-angel-villoria-ordonez_145108/esquelas/</x:v>
      </x:c>
    </x:row>
  </x:sheetData>
  <x:mergeCells>
    <x:mergeCell ref="A1:N1"/>
    <x:mergeCell ref="A2:N2"/>
  </x:mergeCells>
  <x:conditionalFormatting sqref="L4:L10">
    <x:cfRule type="expression" dxfId="0" priority="1">
      <x:formula>L4="Confirmado"</x:formula>
    </x:cfRule>
    <x:cfRule type="expression" dxfId="1" priority="2">
      <x:formula>L4="Probable"</x:formula>
    </x:cfRule>
    <x:cfRule type="expression" dxfId="2" priority="3">
      <x:formula>L4="Pendiente"</x:formula>
    </x:cfRule>
  </x:conditionalFormatting>
  <x:pageMargins left="0.7" right="0.7" top="0.75" bottom="0.75" header="0.3" footer="0.3"/>
  <x:tableParts count="1">
    <x:tablePart xmlns:r="http://schemas.openxmlformats.org/officeDocument/2006/relationships" r:id="R6b2480d9b22f48ec"/>
  </x:tableParts>
</x:worksheet>
</file>

<file path=xl/worksheets/sheet3.xml><?xml version="1.0" encoding="utf-8"?>
<x:worksheet xmlns:x="http://schemas.openxmlformats.org/spreadsheetml/2006/main">
  <x:sheetFormatPr defaultRowHeight="15"/>
  <x:cols>
    <x:col min="1" max="1" width="10" hidden="0" customWidth="1"/>
    <x:col min="2" max="2" width="25" hidden="0" customWidth="1"/>
    <x:col min="3" max="3" width="28" hidden="0" customWidth="1"/>
    <x:col min="4" max="4" width="15" hidden="0" customWidth="1"/>
    <x:col min="5" max="5" width="18" hidden="0" customWidth="1"/>
    <x:col min="6" max="6" width="11" hidden="0" customWidth="1"/>
    <x:col min="7" max="7" width="11" hidden="0" customWidth="1"/>
    <x:col min="8" max="8" width="40" hidden="0" customWidth="1"/>
    <x:col min="9" max="9" width="18" hidden="0" customWidth="1"/>
    <x:col min="10" max="10" width="72" hidden="0" customWidth="1"/>
    <x:col min="11" max="11" width="55" hidden="0" customWidth="1"/>
  </x:cols>
  <x:sheetData>
    <x:row r="1" ht="28" customHeight="1">
      <x:c r="A1" s="5" t="str">
        <x:v>Familia conocida que ayuda a enlazar documentos</x:v>
      </x:c>
      <x:c r="B1" s="5"/>
      <x:c r="C1" s="5"/>
      <x:c r="D1" s="5"/>
      <x:c r="E1" s="5"/>
      <x:c r="F1" s="5"/>
      <x:c r="G1" s="5"/>
      <x:c r="H1" s="5"/>
      <x:c r="I1" s="5"/>
      <x:c r="J1" s="5"/>
      <x:c r="K1" s="5"/>
    </x:row>
    <x:row r="2" ht="42" customHeight="1">
      <x:c r="A2" s="13" t="str">
        <x:v>Estas personas no son ancestros directos de María, pero pueden ser claves para localizar esquelas, matrimonios y partidas.</x:v>
      </x:c>
      <x:c r="B2" s="13"/>
      <x:c r="C2" s="13"/>
      <x:c r="D2" s="13"/>
      <x:c r="E2" s="13"/>
      <x:c r="F2" s="13"/>
      <x:c r="G2" s="13"/>
      <x:c r="H2" s="13"/>
      <x:c r="I2" s="13"/>
      <x:c r="J2" s="13"/>
      <x:c r="K2" s="13"/>
    </x:row>
    <x:row r="3">
      <x:c r="A3" s="22" t="str">
        <x:v>ID</x:v>
      </x:c>
      <x:c r="B3" s="22" t="str">
        <x:v>Parentesco con María</x:v>
      </x:c>
      <x:c r="C3" s="22" t="str">
        <x:v>Nombre</x:v>
      </x:c>
      <x:c r="D3" s="22" t="str">
        <x:v>Nacimiento</x:v>
      </x:c>
      <x:c r="E3" s="22" t="str">
        <x:v>Defunción</x:v>
      </x:c>
      <x:c r="F3" s="22" t="str">
        <x:v>Padre ID</x:v>
      </x:c>
      <x:c r="G3" s="22" t="str">
        <x:v>Madre ID</x:v>
      </x:c>
      <x:c r="H3" s="22" t="str">
        <x:v>Vínculo</x:v>
      </x:c>
      <x:c r="I3" s="22" t="str">
        <x:v>Estado</x:v>
      </x:c>
      <x:c r="J3" s="22" t="str">
        <x:v>Notas</x:v>
      </x:c>
      <x:c r="K3" s="22" t="str">
        <x:v>Fuente / URL</x:v>
      </x:c>
    </x:row>
    <x:row r="4">
      <x:c r="A4" s="28" t="str">
        <x:v>C001</x:v>
      </x:c>
      <x:c r="B4" s="28" t="str">
        <x:v>Hermano</x:v>
      </x:c>
      <x:c r="C4" s="28" t="str">
        <x:v>Luis Villoria Iglesias</x:v>
      </x:c>
      <x:c r="D4" s="28" t="str">
        <x:v>1999</x:v>
      </x:c>
      <x:c r="E4" s="28" t="str"/>
      <x:c r="F4" s="28" t="str">
        <x:v>P001</x:v>
      </x:c>
      <x:c r="G4" s="28" t="str">
        <x:v>P002</x:v>
      </x:c>
      <x:c r="H4" s="28" t="str">
        <x:v>Hermano</x:v>
      </x:c>
      <x:c r="I4" s="28" t="str">
        <x:v>Confirmado</x:v>
      </x:c>
      <x:c r="J4" s="28" t="str">
        <x:v>Hijo de Luis Ángel y Ana Isabel.</x:v>
      </x:c>
      <x:c r="K4" s="28" t="str">
        <x:v>https://esquelasdeasturias.com/fallecidos/luis-angel-villoria-ordonez_145108/esquelas/</x:v>
      </x:c>
    </x:row>
    <x:row r="5">
      <x:c r="A5" s="28" t="str">
        <x:v>C002</x:v>
      </x:c>
      <x:c r="B5" s="28" t="str">
        <x:v>Tío paterno</x:v>
      </x:c>
      <x:c r="C5" s="28" t="str">
        <x:v>Juan Ignacio Villoria Ordóñez</x:v>
      </x:c>
      <x:c r="D5" s="28" t="str"/>
      <x:c r="E5" s="28" t="str"/>
      <x:c r="F5" s="28" t="str">
        <x:v>G001</x:v>
      </x:c>
      <x:c r="G5" s="28" t="str">
        <x:v>G002</x:v>
      </x:c>
      <x:c r="H5" s="28" t="str">
        <x:v>Hermano de Luis Ángel</x:v>
      </x:c>
      <x:c r="I5" s="28" t="str">
        <x:v>Confirmado</x:v>
      </x:c>
      <x:c r="J5" s="28" t="str">
        <x:v>Único hermano nombrado en la esquela de Luis Ángel.</x:v>
      </x:c>
      <x:c r="K5" s="28" t="str">
        <x:v>https://esquelasdeasturias.com/fallecidos/luis-angel-villoria-ordonez_145108/esquelas/</x:v>
      </x:c>
    </x:row>
    <x:row r="6">
      <x:c r="A6" s="28" t="str">
        <x:v>C003</x:v>
      </x:c>
      <x:c r="B6" s="28" t="str">
        <x:v>Tío materno</x:v>
      </x:c>
      <x:c r="C6" s="28" t="str">
        <x:v>José Luis Iglesias Carbajo</x:v>
      </x:c>
      <x:c r="D6" s="28" t="str"/>
      <x:c r="E6" s="28" t="str"/>
      <x:c r="F6" s="28" t="str">
        <x:v>G003</x:v>
      </x:c>
      <x:c r="G6" s="28" t="str">
        <x:v>G004</x:v>
      </x:c>
      <x:c r="H6" s="28" t="str">
        <x:v>Hermano de Ana Isabel</x:v>
      </x:c>
      <x:c r="I6" s="28" t="str">
        <x:v>Confirmado</x:v>
      </x:c>
      <x:c r="J6" s="28" t="str">
        <x:v>Figura como hermano político de Luis Ángel.</x:v>
      </x:c>
      <x:c r="K6" s="28" t="str">
        <x:v>https://esquelasdeasturias.com/fallecidos/luis-angel-villoria-ordonez_145108/esquelas/</x:v>
      </x:c>
    </x:row>
    <x:row r="7">
      <x:c r="A7" s="39" t="str">
        <x:v>C004</x:v>
      </x:c>
      <x:c r="B7" s="39" t="str">
        <x:v>Tío abuelo paterno</x:v>
      </x:c>
      <x:c r="C7" s="39" t="str">
        <x:v>Faustino Villoria Díaz</x:v>
      </x:c>
      <x:c r="D7" s="39"/>
      <x:c r="E7" s="39"/>
      <x:c r="F7" s="39"/>
      <x:c r="G7" s="39"/>
      <x:c r="H7" s="39" t="str">
        <x:v>Hermano de Víctor</x:v>
      </x:c>
      <x:c r="I7" s="39" t="str">
        <x:v>Confirmado</x:v>
      </x:c>
      <x:c r="J7" s="39" t="str">
        <x:v>La esquela de Víctor lo nombra expresamente como hermano y ya fallecido en 2017. Además, un Faustino Villoría Díaz figura en el BOE de 27/04/1966 en Mina Herrerías (Huelva); la actividad es compatible con la investigación previa, aunque ese registro profesional por sí solo no prueba identidad.</x:v>
      </x:c>
      <x:c r="K7" s="39" t="str">
        <x:v>https://www.infoesquelas.com/asturias/esquelas/oviedo/don-victor-villoria-diaz/36984</x:v>
      </x:c>
    </x:row>
    <x:row r="8">
      <x:c r="A8" s="39" t="str">
        <x:v>C005</x:v>
      </x:c>
      <x:c r="B8" s="39" t="str">
        <x:v>Prima</x:v>
      </x:c>
      <x:c r="C8" s="39" t="str">
        <x:v>Carmen Villoria Iglesias</x:v>
      </x:c>
      <x:c r="D8" s="39"/>
      <x:c r="E8" s="39"/>
      <x:c r="F8" s="63" t="str">
        <x:v>C002</x:v>
      </x:c>
      <x:c r="G8" s="63" t="str">
        <x:v>C006</x:v>
      </x:c>
      <x:c r="H8" s="63" t="str">
        <x:v>Hija de Juan Ignacio Villoria Ordóñez y Begoña Iglesias de la Puente</x:v>
      </x:c>
      <x:c r="I8" s="63" t="str">
        <x:v>Resuelto</x:v>
      </x:c>
      <x:c r="J8" s="63" t="str">
        <x:v>La esquela de Víctor confirma a Carmen como nieta y agrupa a Juan Ignacio con Begoña como la segunda pareja de hijos/hijas políticas. La esquela de Luis Ángel la confirma como sobrina. Se acepta esta filiación como resuelta para el árbol por criterio del usuario.</x:v>
      </x:c>
      <x:c r="K8" s="63" t="str">
        <x:v>https://www.infoesquelas.com/asturias/esquelas/oviedo/don-victor-villoria-diaz/36984</x:v>
      </x:c>
    </x:row>
    <x:row r="9">
      <x:c r="A9" s="39" t="str">
        <x:v>C006</x:v>
      </x:c>
      <x:c r="B9" s="39" t="str">
        <x:v>Tía política paterna</x:v>
      </x:c>
      <x:c r="C9" s="39" t="str">
        <x:v>Begoña Iglesias de la Puente</x:v>
      </x:c>
      <x:c r="D9" s="39"/>
      <x:c r="E9" s="39"/>
      <x:c r="F9" s="39"/>
      <x:c r="G9" s="39"/>
      <x:c r="H9" s="63" t="str">
        <x:v>Esposa de Juan Ignacio Villoria Ordóñez</x:v>
      </x:c>
      <x:c r="I9" s="63" t="str">
        <x:v>Resuelto</x:v>
      </x:c>
      <x:c r="J9" s="63" t="str">
        <x:v>La esquela de Víctor coloca a Begoña entre las hijas políticas tras enumerar a Luis Ángel y Juan Ignacio. Además, Juan Ignacio y María Begoña Iglesias de la Puente aparecen juntos en la candidatura UPyD publicada en el Boletín Oficial de la Provincia de León en 2015. Se acepta la pareja como resuelta para el árbol.</x:v>
      </x:c>
      <x:c r="K9" s="63" t="str">
        <x:v>https://static.leonoticias.com/adjuntos/fichero_128553_20150423.pdf</x:v>
      </x:c>
    </x:row>
  </x:sheetData>
  <x:mergeCells>
    <x:mergeCell ref="A1:K1"/>
    <x:mergeCell ref="A2:K2"/>
  </x:mergeCells>
  <x:conditionalFormatting sqref="I4:I8">
    <x:cfRule type="expression" dxfId="3" priority="1">
      <x:formula>I4="Confirmado"</x:formula>
    </x:cfRule>
    <x:cfRule type="expression" dxfId="4" priority="2">
      <x:formula>I4="Probable"</x:formula>
    </x:cfRule>
  </x:conditionalFormatting>
  <x:pageMargins left="0.7" right="0.7" top="0.75" bottom="0.75" header="0.3" footer="0.3"/>
  <x:tableParts count="1">
    <x:tablePart xmlns:r="http://schemas.openxmlformats.org/officeDocument/2006/relationships" r:id="R4b5ddbc52b7749b8"/>
  </x:tableParts>
</x:worksheet>
</file>

<file path=xl/worksheets/sheet4.xml><?xml version="1.0" encoding="utf-8"?>
<x:worksheet xmlns:x="http://schemas.openxmlformats.org/spreadsheetml/2006/main">
  <x:sheetFormatPr defaultRowHeight="15"/>
  <x:cols>
    <x:col min="1" max="1" width="10" hidden="0" customWidth="1"/>
    <x:col min="2" max="2" width="11" hidden="0" customWidth="1"/>
    <x:col min="3" max="3" width="34" hidden="0" customWidth="1"/>
    <x:col min="4" max="4" width="30" hidden="0" customWidth="1"/>
    <x:col min="5" max="5" width="18" hidden="0" customWidth="1"/>
    <x:col min="6" max="6" width="14" hidden="0" customWidth="1"/>
    <x:col min="7" max="7" width="68" hidden="0" customWidth="1"/>
    <x:col min="8" max="8" width="14" hidden="0" customWidth="1"/>
  </x:cols>
  <x:sheetData>
    <x:row r="1" ht="28" customHeight="1">
      <x:c r="A1" s="5" t="str">
        <x:v>Bisabuelos todavía por identificar</x:v>
      </x:c>
      <x:c r="B1" s="5"/>
      <x:c r="C1" s="5"/>
      <x:c r="D1" s="5"/>
      <x:c r="E1" s="5"/>
      <x:c r="F1" s="5"/>
      <x:c r="G1" s="5"/>
      <x:c r="H1" s="5"/>
    </x:row>
    <x:row r="2" ht="42" customHeight="1">
      <x:c r="A2" s="13" t="str">
        <x:v>Cada fila representa un puesto real en la ascendencia de María. No se asigna ningún nombre hasta tener una filiación documental.</x:v>
      </x:c>
      <x:c r="B2" s="13"/>
      <x:c r="C2" s="13"/>
      <x:c r="D2" s="13"/>
      <x:c r="E2" s="13"/>
      <x:c r="F2" s="13"/>
      <x:c r="G2" s="13"/>
      <x:c r="H2" s="13"/>
    </x:row>
    <x:row r="3">
      <x:c r="A3" s="22" t="str">
        <x:v>Slot</x:v>
      </x:c>
      <x:c r="B3" s="22" t="str">
        <x:v>Generación</x:v>
      </x:c>
      <x:c r="C3" s="22" t="str">
        <x:v>Relación</x:v>
      </x:c>
      <x:c r="D3" s="22" t="str">
        <x:v>Hijo/a conocido/a</x:v>
      </x:c>
      <x:c r="E3" s="22" t="str">
        <x:v>Línea</x:v>
      </x:c>
      <x:c r="F3" s="22" t="str">
        <x:v>Estado</x:v>
      </x:c>
      <x:c r="G3" s="22" t="str">
        <x:v>Pista principal</x:v>
      </x:c>
      <x:c r="H3" s="22" t="str">
        <x:v>Prioridad</x:v>
      </x:c>
    </x:row>
    <x:row r="4">
      <x:c r="A4" s="28" t="str">
        <x:v>GG01</x:v>
      </x:c>
      <x:c r="B4" s="28" t="n">
        <x:v>3</x:v>
      </x:c>
      <x:c r="C4" s="28" t="str">
        <x:v>Padre de Víctor Villoria Díaz</x:v>
      </x:c>
      <x:c r="D4" s="28" t="str">
        <x:v>Víctor Villoria Díaz</x:v>
      </x:c>
      <x:c r="E4" s="28" t="str">
        <x:v>Villoria</x:v>
      </x:c>
      <x:c r="F4" s="28" t="str">
        <x:v>Pendiente</x:v>
      </x:c>
      <x:c r="G4" s="39" t="str">
        <x:v>Esquela de Víctor: nacido aprox. 1928–1929; hermano Faustino (†); entierro Moreda de Aller. Buscar partida/matrimonio de Víctor y expediente de titulación de Faustino.</x:v>
      </x:c>
      <x:c r="H4" s="39" t="str">
        <x:v>Muy alta</x:v>
      </x:c>
    </x:row>
    <x:row r="5">
      <x:c r="A5" s="28" t="str">
        <x:v>GG02</x:v>
      </x:c>
      <x:c r="B5" s="28" t="n">
        <x:v>3</x:v>
      </x:c>
      <x:c r="C5" s="28" t="str">
        <x:v>Madre de Víctor Villoria Díaz</x:v>
      </x:c>
      <x:c r="D5" s="28" t="str">
        <x:v>Víctor Villoria Díaz</x:v>
      </x:c>
      <x:c r="E5" s="28" t="str">
        <x:v>Díaz</x:v>
      </x:c>
      <x:c r="F5" s="28" t="str">
        <x:v>Pendiente</x:v>
      </x:c>
      <x:c r="G5" s="39" t="str">
        <x:v>Misma vía que GG01: una partida de Víctor o Faustino puede revelar la pareja parental Villoria × Díaz.</x:v>
      </x:c>
      <x:c r="H5" s="39" t="str">
        <x:v>Muy alta</x:v>
      </x:c>
    </x:row>
    <x:row r="6">
      <x:c r="A6" s="28" t="str">
        <x:v>GG03</x:v>
      </x:c>
      <x:c r="B6" s="28" t="n">
        <x:v>3</x:v>
      </x:c>
      <x:c r="C6" s="28" t="str">
        <x:v>Padre de Natividad Ordóñez Fernández</x:v>
      </x:c>
      <x:c r="D6" s="28" t="str">
        <x:v>Natividad Ordóñez Fernández</x:v>
      </x:c>
      <x:c r="E6" s="28" t="str">
        <x:v>Ordóñez</x:v>
      </x:c>
      <x:c r="F6" s="28" t="str">
        <x:v>Pendiente</x:v>
      </x:c>
      <x:c r="G6" s="39" t="str">
        <x:v>Buscar matrimonio Víctor Villoria Díaz × Natividad Ordóñez Fernández y documentación de maestra si se confirma que la homónima del BOE es ella.</x:v>
      </x:c>
      <x:c r="H6" s="39" t="str">
        <x:v>Alta</x:v>
      </x:c>
    </x:row>
    <x:row r="7">
      <x:c r="A7" s="28" t="str">
        <x:v>GG04</x:v>
      </x:c>
      <x:c r="B7" s="28" t="n">
        <x:v>3</x:v>
      </x:c>
      <x:c r="C7" s="28" t="str">
        <x:v>Madre de Natividad Ordóñez Fernández</x:v>
      </x:c>
      <x:c r="D7" s="28" t="str">
        <x:v>Natividad Ordóñez Fernández</x:v>
      </x:c>
      <x:c r="E7" s="28" t="str">
        <x:v>Fernández</x:v>
      </x:c>
      <x:c r="F7" s="28" t="str">
        <x:v>Pendiente</x:v>
      </x:c>
      <x:c r="G7" s="39" t="str">
        <x:v>Misma vía que GG03; evitar asumir que los Ordóñez Fernández de Moreda son hermanos sin una esquela/partida.</x:v>
      </x:c>
      <x:c r="H7" s="39" t="str">
        <x:v>Alta</x:v>
      </x:c>
    </x:row>
    <x:row r="8">
      <x:c r="A8" s="28" t="str">
        <x:v>GG05</x:v>
      </x:c>
      <x:c r="B8" s="28" t="n">
        <x:v>3</x:v>
      </x:c>
      <x:c r="C8" s="28" t="str">
        <x:v>Padre de José Luis Iglesias Ballina</x:v>
      </x:c>
      <x:c r="D8" s="28" t="str">
        <x:v>José Luis Iglesias Ballina</x:v>
      </x:c>
      <x:c r="E8" s="28" t="str">
        <x:v>Iglesias</x:v>
      </x:c>
      <x:c r="F8" s="28" t="str">
        <x:v>Pendiente</x:v>
      </x:c>
      <x:c r="G8" s="39" t="str">
        <x:v>Prioridad Vigo/Pontevedra: Miguel Ángel Iglesias Ballina nació en Vigo 28/07/1951 y se trasladó muy joven a Asturias. Conseguir su partida de nacimiento o una esquela familiar con padres/hermanos.</x:v>
      </x:c>
      <x:c r="H8" s="39" t="str">
        <x:v>Muy alta</x:v>
      </x:c>
    </x:row>
    <x:row r="9">
      <x:c r="A9" s="28" t="str">
        <x:v>GG06</x:v>
      </x:c>
      <x:c r="B9" s="28" t="n">
        <x:v>3</x:v>
      </x:c>
      <x:c r="C9" s="28" t="str">
        <x:v>Madre de José Luis Iglesias Ballina</x:v>
      </x:c>
      <x:c r="D9" s="28" t="str">
        <x:v>José Luis Iglesias Ballina</x:v>
      </x:c>
      <x:c r="E9" s="28" t="str">
        <x:v>Ballina</x:v>
      </x:c>
      <x:c r="F9" s="28" t="str">
        <x:v>Pendiente</x:v>
      </x:c>
      <x:c r="G9" s="39" t="str">
        <x:v>Misma vía que GG05. La conexión José Luis ↔ Miguel Ángel sigue sin demostrarse.</x:v>
      </x:c>
      <x:c r="H9" s="39" t="str">
        <x:v>Muy alta</x:v>
      </x:c>
    </x:row>
    <x:row r="10">
      <x:c r="A10" s="28" t="str">
        <x:v>GG07</x:v>
      </x:c>
      <x:c r="B10" s="28" t="n">
        <x:v>3</x:v>
      </x:c>
      <x:c r="C10" s="28" t="str">
        <x:v>Padre de Isabel María Carbajo Acebal</x:v>
      </x:c>
      <x:c r="D10" s="28" t="str">
        <x:v>Isabel María Carbajo Acebal</x:v>
      </x:c>
      <x:c r="E10" s="28" t="str">
        <x:v>Carbajo</x:v>
      </x:c>
      <x:c r="F10" s="28" t="str">
        <x:v>Pendiente</x:v>
      </x:c>
      <x:c r="G10" s="39" t="str">
        <x:v>Buscar matrimonio José Luis Iglesias Ballina × Isabel María Carbajo Acebal. Nueva pista: Francisco Javier Carbajo Acebal falleció en Vigo el 09/07/2020 e Ignacio Carbajo Acebal en Oviedo el 29/08/2014; posibles parientes, sin filiación probada.</x:v>
      </x:c>
      <x:c r="H10" s="39" t="str">
        <x:v>Muy alta</x:v>
      </x:c>
    </x:row>
    <x:row r="11">
      <x:c r="A11" s="28" t="str">
        <x:v>GG08</x:v>
      </x:c>
      <x:c r="B11" s="28" t="n">
        <x:v>3</x:v>
      </x:c>
      <x:c r="C11" s="28" t="str">
        <x:v>Madre de Isabel María Carbajo Acebal</x:v>
      </x:c>
      <x:c r="D11" s="28" t="str">
        <x:v>Isabel María Carbajo Acebal</x:v>
      </x:c>
      <x:c r="E11" s="28" t="str">
        <x:v>Acebal</x:v>
      </x:c>
      <x:c r="F11" s="28" t="str">
        <x:v>Pendiente</x:v>
      </x:c>
      <x:c r="G11" s="39" t="str">
        <x:v>Misma vía que GG07; rastrear esquelas de Francisco Javier e Ignacio Carbajo Acebal para encontrar padres/hermanos.</x:v>
      </x:c>
      <x:c r="H11" s="39" t="str">
        <x:v>Muy alta</x:v>
      </x:c>
    </x:row>
  </x:sheetData>
  <x:mergeCells>
    <x:mergeCell ref="A1:H1"/>
    <x:mergeCell ref="A2:H2"/>
  </x:mergeCells>
  <x:conditionalFormatting sqref="F4:F11">
    <x:cfRule type="expression" dxfId="5" priority="1">
      <x:formula>F4="Pendiente"</x:formula>
    </x:cfRule>
  </x:conditionalFormatting>
  <x:conditionalFormatting sqref="H4:H11">
    <x:cfRule type="expression" dxfId="6" priority="2">
      <x:formula>H4="Muy alta"</x:formula>
    </x:cfRule>
    <x:cfRule type="expression" dxfId="7" priority="3">
      <x:formula>H4="Alta"</x:formula>
    </x:cfRule>
  </x:conditionalFormatting>
  <x:pageMargins left="0.7" right="0.7" top="0.75" bottom="0.75" header="0.3" footer="0.3"/>
  <x:tableParts count="1">
    <x:tablePart xmlns:r="http://schemas.openxmlformats.org/officeDocument/2006/relationships" r:id="R21680c8d324f4a1a"/>
  </x:tableParts>
</x:worksheet>
</file>

<file path=xl/worksheets/sheet5.xml><?xml version="1.0" encoding="utf-8"?>
<x:worksheet xmlns:x="http://schemas.openxmlformats.org/spreadsheetml/2006/main">
  <x:sheetFormatPr defaultRowHeight="15"/>
  <x:cols>
    <x:col min="1" max="1" width="10" hidden="0" customWidth="1"/>
    <x:col min="2" max="2" width="31" hidden="0" customWidth="1"/>
    <x:col min="3" max="3" width="16" hidden="0" customWidth="1"/>
    <x:col min="4" max="4" width="24" hidden="0" customWidth="1"/>
    <x:col min="5" max="5" width="16" hidden="0" customWidth="1"/>
    <x:col min="6" max="6" width="26" hidden="0" customWidth="1"/>
    <x:col min="7" max="7" width="43" hidden="0" customWidth="1"/>
    <x:col min="8" max="8" width="28" hidden="0" customWidth="1"/>
    <x:col min="9" max="9" width="14" hidden="0" customWidth="1"/>
    <x:col min="10" max="10" width="80" hidden="0" customWidth="1"/>
  </x:cols>
  <x:sheetData>
    <x:row r="1" ht="28" customHeight="1">
      <x:c r="A1" s="5" t="str">
        <x:v>Personas y conexiones plausibles todavía no integradas en la línea directa</x:v>
      </x:c>
      <x:c r="B1" s="5"/>
      <x:c r="C1" s="5"/>
      <x:c r="D1" s="5"/>
      <x:c r="E1" s="5"/>
      <x:c r="F1" s="5"/>
      <x:c r="G1" s="5"/>
      <x:c r="H1" s="5"/>
      <x:c r="I1" s="5"/>
      <x:c r="J1" s="5"/>
    </x:row>
    <x:row r="2" ht="42" customHeight="1">
      <x:c r="A2" s="13" t="str">
        <x:v>No usar estas filas como ascendencia confirmada. Son hipótesis de investigación para encontrar documentos que enlacen una generación.</x:v>
      </x:c>
      <x:c r="B2" s="13"/>
      <x:c r="C2" s="13"/>
      <x:c r="D2" s="13"/>
      <x:c r="E2" s="13"/>
      <x:c r="F2" s="13"/>
      <x:c r="G2" s="13"/>
      <x:c r="H2" s="13"/>
      <x:c r="I2" s="13"/>
      <x:c r="J2" s="13"/>
    </x:row>
    <x:row r="3">
      <x:c r="A3" s="22" t="str">
        <x:v>ID</x:v>
      </x:c>
      <x:c r="B3" s="22" t="str">
        <x:v>Nombre</x:v>
      </x:c>
      <x:c r="C3" s="22" t="str">
        <x:v>Nacimiento</x:v>
      </x:c>
      <x:c r="D3" s="22" t="str">
        <x:v>Lugar nacimiento</x:v>
      </x:c>
      <x:c r="E3" s="22" t="str">
        <x:v>Defunción</x:v>
      </x:c>
      <x:c r="F3" s="22" t="str">
        <x:v>Lugar defunción</x:v>
      </x:c>
      <x:c r="G3" s="22" t="str">
        <x:v>Posible relación</x:v>
      </x:c>
      <x:c r="H3" s="22" t="str">
        <x:v>Estado</x:v>
      </x:c>
      <x:c r="I3" s="22" t="str">
        <x:v>Prioridad</x:v>
      </x:c>
      <x:c r="J3" s="22" t="str">
        <x:v>Evidencia / fuente</x:v>
      </x:c>
    </x:row>
    <x:row r="4">
      <x:c r="A4" s="39" t="str">
        <x:v>H001</x:v>
      </x:c>
      <x:c r="B4" s="39" t="str">
        <x:v>Miguel Ángel Iglesias Ballina</x:v>
      </x:c>
      <x:c r="C4" s="39" t="str">
        <x:v>28/07/1951</x:v>
      </x:c>
      <x:c r="D4" s="39" t="str">
        <x:v>Vigo</x:v>
      </x:c>
      <x:c r="E4" s="39" t="str">
        <x:v>06/11/2012</x:v>
      </x:c>
      <x:c r="F4" s="39" t="str">
        <x:v>Asturias / despedida en Oviedo</x:v>
      </x:c>
      <x:c r="G4" s="39" t="str">
        <x:v>Posible hermano o primo hermano de José Luis Iglesias Ballina</x:v>
      </x:c>
      <x:c r="H4" s="39" t="str">
        <x:v>Pendiente</x:v>
      </x:c>
      <x:c r="I4" s="39" t="str">
        <x:v>Muy alta</x:v>
      </x:c>
      <x:c r="J4" s="66" t="str">
        <x:v>Documentado: nació en Vigo el 28/07/1951, se trasladó muy joven a Asturias y falleció el 06/11/2012. La noticia de fallecimiento identifica a su viuda como Mari Sol González Robles. Ninguna de las noticias/biografías localizadas nombra a sus padres o hermanos, por lo que el vínculo con José Luis Iglesias Ballina sigue sin demostrarse.</x:v>
      </x:c>
    </x:row>
    <x:row r="5">
      <x:c r="A5" s="28" t="str">
        <x:v>H002</x:v>
      </x:c>
      <x:c r="B5" s="28" t="str">
        <x:v>María de los Ángeles Iglesias Ballina</x:v>
      </x:c>
      <x:c r="C5" s="28" t="str"/>
      <x:c r="D5" s="28" t="str">
        <x:v>Roris / Pontevedra</x:v>
      </x:c>
      <x:c r="E5" s="28" t="str"/>
      <x:c r="F5" s="28" t="str"/>
      <x:c r="G5" s="28" t="str">
        <x:v>Posible miembro de la rama gallega Iglesias-Ballina</x:v>
      </x:c>
      <x:c r="H5" s="28" t="str">
        <x:v>Pendiente</x:v>
      </x:c>
      <x:c r="I5" s="28" t="str">
        <x:v>Media</x:v>
      </x:c>
      <x:c r="J5" s="28" t="str">
        <x:v>Apareció en directorio histórico en investigación previa; falta fuente de filiación.</x:v>
      </x:c>
    </x:row>
    <x:row r="6">
      <x:c r="A6" s="28" t="str">
        <x:v>H003</x:v>
      </x:c>
      <x:c r="B6" s="28" t="str">
        <x:v>María Luisa Ordóñez Fernández</x:v>
      </x:c>
      <x:c r="C6" s="28" t="str"/>
      <x:c r="D6" s="28" t="str">
        <x:v>Moreda / Aller (pista)</x:v>
      </x:c>
      <x:c r="E6" s="28" t="str"/>
      <x:c r="F6" s="28" t="str"/>
      <x:c r="G6" s="28" t="str">
        <x:v>Posible hermana de Natividad Ordóñez Fernández</x:v>
      </x:c>
      <x:c r="H6" s="39" t="str">
        <x:v>Pista fuerte - pendiente de filiación</x:v>
      </x:c>
      <x:c r="I6" s="39" t="str">
        <x:v>Alta</x:v>
      </x:c>
      <x:c r="J6" s="39" t="str">
        <x:v>Se ha localizado una esquela de una D.ª María Luisa Ordóñez Fernández vinculada a Moreda de Aller. Coinciden el doble apellido y la localidad prioritaria de la rama de Natividad. No se ha localizado aún una mención que nombre a Natividad como hermana.</x:v>
      </x:c>
    </x:row>
    <x:row r="7">
      <x:c r="A7" s="28" t="str">
        <x:v>H004</x:v>
      </x:c>
      <x:c r="B7" s="28" t="str">
        <x:v>Manuel Ordóñez Fernández</x:v>
      </x:c>
      <x:c r="C7" s="28" t="str"/>
      <x:c r="D7" s="28" t="str">
        <x:v>Moreda / Aller (pista)</x:v>
      </x:c>
      <x:c r="E7" s="28" t="str"/>
      <x:c r="F7" s="28" t="str"/>
      <x:c r="G7" s="28" t="str">
        <x:v>Posible hermano de Natividad Ordóñez Fernández</x:v>
      </x:c>
      <x:c r="H7" s="66" t="str">
        <x:v>Pista documental</x:v>
      </x:c>
      <x:c r="I7" s="66" t="str">
        <x:v>Media</x:v>
      </x:c>
      <x:c r="J7" s="66" t="str">
        <x:v>Una memoria de HUNOSA de 1985 documenta a un Manuel Ordóñez Fernández como Director General de la Cuenca del Caudal. Es una persona real del ámbito minero asturiano con el doble apellido exacto, pero el documento no aporta edad, padres ni hermanos. No se puede identificar todavía con un hermano de Natividad.</x:v>
      </x:c>
    </x:row>
    <x:row r="8">
      <x:c r="A8" s="28" t="str">
        <x:v>H005</x:v>
      </x:c>
      <x:c r="B8" s="28" t="str">
        <x:v>María Isabel Ordóñez Fernández</x:v>
      </x:c>
      <x:c r="C8" s="28" t="str"/>
      <x:c r="D8" s="28" t="str">
        <x:v>Moreda / Aller (pista)</x:v>
      </x:c>
      <x:c r="E8" s="28" t="str"/>
      <x:c r="F8" s="28" t="str"/>
      <x:c r="G8" s="28" t="str">
        <x:v>Posible hermana de Natividad Ordóñez Fernández</x:v>
      </x:c>
      <x:c r="H8" s="39" t="str">
        <x:v>Pendiente - evidencia débil</x:v>
      </x:c>
      <x:c r="I8" s="39" t="str">
        <x:v>Media-baja</x:v>
      </x:c>
      <x:c r="J8" s="39" t="str">
        <x:v>No se ha encontrado en esta pasada una fuente pública que demuestre el parentesco. Mantener solo como término de búsqueda, no como miembro del árbol.</x:v>
      </x:c>
    </x:row>
    <x:row r="9">
      <x:c r="A9" s="28" t="str">
        <x:v>H006</x:v>
      </x:c>
      <x:c r="B9" s="28" t="str">
        <x:v>María Teresa Ordóñez Fernández</x:v>
      </x:c>
      <x:c r="C9" s="28" t="str"/>
      <x:c r="D9" s="28" t="str">
        <x:v>Moreda / Aller (pista)</x:v>
      </x:c>
      <x:c r="E9" s="28" t="str"/>
      <x:c r="F9" s="28" t="str"/>
      <x:c r="G9" s="28" t="str">
        <x:v>Posible hermana de Natividad Ordóñez Fernández</x:v>
      </x:c>
      <x:c r="H9" s="39" t="str">
        <x:v>Pendiente - evidencia débil</x:v>
      </x:c>
      <x:c r="I9" s="39" t="str">
        <x:v>Media-baja</x:v>
      </x:c>
      <x:c r="J9" s="39" t="str">
        <x:v>No se ha encontrado en esta pasada una fuente pública que demuestre el parentesco. Mantener solo como término de búsqueda, no como miembro del árbol.</x:v>
      </x:c>
    </x:row>
    <x:row r="10">
      <x:c r="A10" s="28" t="str">
        <x:v>H007</x:v>
      </x:c>
      <x:c r="B10" s="28" t="str">
        <x:v>Amador Villoria Díaz</x:v>
      </x:c>
      <x:c r="C10" s="28" t="str"/>
      <x:c r="D10" s="28" t="str">
        <x:v>Asturias (pista)</x:v>
      </x:c>
      <x:c r="E10" s="28" t="str"/>
      <x:c r="F10" s="28" t="str"/>
      <x:c r="G10" s="28" t="str">
        <x:v>Posible hermano/pariente de Víctor Villoria Díaz</x:v>
      </x:c>
      <x:c r="H10" s="39" t="str">
        <x:v>Pista documental</x:v>
      </x:c>
      <x:c r="I10" s="39" t="str">
        <x:v>Media</x:v>
      </x:c>
      <x:c r="J10" s="39" t="str">
        <x:v>El Archivo General Militar de Guadalajara contiene un expediente a nombre de VILLORIA DÍAZ, AMADOR (caja 304217, exp. 145896). Confirma que existió una persona con el doble apellido en la generación histórica; falta localidad/filiación para relacionarlo con Víctor y Faustino.</x:v>
      </x:c>
    </x:row>
    <x:row r="11">
      <x:c r="A11" s="28" t="str">
        <x:v>H008</x:v>
      </x:c>
      <x:c r="B11" s="28" t="str">
        <x:v>Manuel Villoria Díaz</x:v>
      </x:c>
      <x:c r="C11" s="28" t="str"/>
      <x:c r="D11" s="28" t="str">
        <x:v>Lena / Aller (pista)</x:v>
      </x:c>
      <x:c r="E11" s="28" t="str"/>
      <x:c r="F11" s="28" t="str"/>
      <x:c r="G11" s="28" t="str">
        <x:v>Posible hermano/pariente de Víctor Villoria Díaz</x:v>
      </x:c>
      <x:c r="H11" s="39" t="str">
        <x:v>Pista documental local</x:v>
      </x:c>
      <x:c r="I11" s="39" t="str">
        <x:v>Media</x:v>
      </x:c>
      <x:c r="J11" s="39" t="str">
        <x:v>Fuentes históricas del concejo de Aller registran a un Manuel Villoria Díaz vinculado a los sucesos de 1934. Refuerza la presencia del doble apellido Villoria Díaz en Aller, pero no demuestra parentesco con Víctor/Faustino.</x:v>
      </x:c>
    </x:row>
    <x:row r="12">
      <x:c r="A12" s="39" t="str">
        <x:v>H009</x:v>
      </x:c>
      <x:c r="B12" s="39" t="str">
        <x:v>Francisco Javier Carbajo Acebal</x:v>
      </x:c>
      <x:c r="C12" s="39"/>
      <x:c r="D12" s="39"/>
      <x:c r="E12" s="39" t="str">
        <x:v>09/07/2020</x:v>
      </x:c>
      <x:c r="F12" s="39" t="str">
        <x:v>Vigo (Pontevedra)</x:v>
      </x:c>
      <x:c r="G12" s="39" t="str">
        <x:v>Posible hermano o pariente cercano de Isabel María Carbajo Acebal</x:v>
      </x:c>
      <x:c r="H12" s="39" t="str">
        <x:v>Pendiente</x:v>
      </x:c>
      <x:c r="I12" s="39" t="str">
        <x:v>Alta</x:v>
      </x:c>
      <x:c r="J12" s="39" t="str">
        <x:v>Esquelas de Galicia/Vigo registra exactamente este doble apellido y fallecimiento en Vigo. No se ha localizado una esquela completa con familiares, así que no puede enlazarse todavía.</x:v>
      </x:c>
    </x:row>
    <x:row r="13">
      <x:c r="A13" s="39" t="str">
        <x:v>H010</x:v>
      </x:c>
      <x:c r="B13" s="39" t="str">
        <x:v>Ignacio Carbajo Acebal</x:v>
      </x:c>
      <x:c r="C13" s="39"/>
      <x:c r="D13" s="39"/>
      <x:c r="E13" s="39" t="str">
        <x:v>29/08/2014</x:v>
      </x:c>
      <x:c r="F13" s="39" t="str">
        <x:v>Oviedo</x:v>
      </x:c>
      <x:c r="G13" s="39" t="str">
        <x:v>Posible hermano o pariente cercano de Isabel María Carbajo Acebal</x:v>
      </x:c>
      <x:c r="H13" s="39" t="str">
        <x:v>Pendiente</x:v>
      </x:c>
      <x:c r="I13" s="39" t="str">
        <x:v>Alta</x:v>
      </x:c>
      <x:c r="J13" s="39" t="str">
        <x:v>Índice de esquelas de Oviedo registra exactamente este doble apellido. No hay aún filiación ni relación explícita con Isabel María.</x:v>
      </x:c>
    </x:row>
    <x:row r="14">
      <x:c r="A14" s="66" t="str">
        <x:v>H011</x:v>
      </x:c>
      <x:c r="B14" s="66" t="str">
        <x:v>Jerónimo Ordóñez Fernández</x:v>
      </x:c>
      <x:c r="C14" s="66"/>
      <x:c r="D14" s="66" t="str">
        <x:v>Moreda / Aller (entorno histórico)</x:v>
      </x:c>
      <x:c r="E14" s="66"/>
      <x:c r="F14" s="66"/>
      <x:c r="G14" s="66" t="str">
        <x:v>Posible pariente de Natividad Ordóñez Fernández</x:v>
      </x:c>
      <x:c r="H14" s="66" t="str">
        <x:v>Pista documental local</x:v>
      </x:c>
      <x:c r="I14" s="66" t="str">
        <x:v>Media</x:v>
      </x:c>
      <x:c r="J14" s="66" t="str">
        <x:v>La Historia del Concejo de Aller registra a Jerónimo Ordóñez Fernández (también 'Jeromín') en documentación histórica del concejo. Mismo doble apellido y geografía relevante, pero sin filiación.</x:v>
      </x:c>
    </x:row>
    <x:row r="15">
      <x:c r="A15" s="66" t="str">
        <x:v>H012</x:v>
      </x:c>
      <x:c r="B15" s="66" t="str">
        <x:v>Senén Villoria Díaz</x:v>
      </x:c>
      <x:c r="C15" s="66"/>
      <x:c r="D15" s="66" t="str">
        <x:v>Asturias / entorno minero (pista)</x:v>
      </x:c>
      <x:c r="E15" s="66"/>
      <x:c r="F15" s="66"/>
      <x:c r="G15" s="66" t="str">
        <x:v>Posible pariente de Víctor y Faustino Villoria Díaz</x:v>
      </x:c>
      <x:c r="H15" s="66" t="str">
        <x:v>Pista previa sin filiación</x:v>
      </x:c>
      <x:c r="I15" s="66" t="str">
        <x:v>Baja-media</x:v>
      </x:c>
      <x:c r="J15" s="66" t="str">
        <x:v>En una pasada anterior apareció en material del Archivo Histórico Minero como Senén Villoria Díaz, ligado a un club de entibadores. No se ha recuperado en esta pasada una fuente que aporte padres, edad o localidad exacta; mantener separado.</x:v>
      </x:c>
    </x:row>
    <x:row r="16">
      <x:c r="A16" s="66" t="str">
        <x:v>H013</x:v>
      </x:c>
      <x:c r="B16" s="66" t="str">
        <x:v>Andrea Villoria Díaz</x:v>
      </x:c>
      <x:c r="C16" s="66"/>
      <x:c r="D16" s="66" t="str">
        <x:v>Rama vasca / posible origen asturiano</x:v>
      </x:c>
      <x:c r="E16" s="66" t="str">
        <x:v>03/02/2014</x:v>
      </x:c>
      <x:c r="F16" s="66" t="str">
        <x:v>Donostia / San Sebastián</x:v>
      </x:c>
      <x:c r="G16" s="66" t="str">
        <x:v>Probable rama distinta; útil para descartar homonimia</x:v>
      </x:c>
      <x:c r="H16" s="66" t="str">
        <x:v>Candidato de exclusión</x:v>
      </x:c>
      <x:c r="I16" s="66" t="str">
        <x:v>Baja</x:v>
      </x:c>
      <x:c r="J16" s="66" t="str">
        <x:v>Esquela localizada en investigación previa: falleció a los 83 años, viuda de Rafael Pavón; hermanos Manolo, Vicenta y Amalia. La composición familiar y la geografía no enlazan con Víctor/Faustino. Mantener como rama separada salvo nueva prueba.</x:v>
      </x:c>
    </x:row>
    <x:row r="17">
      <x:c r="A17" s="66" t="str">
        <x:v>H014</x:v>
      </x:c>
      <x:c r="B17" s="66" t="str">
        <x:v>María Josefa Villoria García</x:v>
      </x:c>
      <x:c r="C17" s="66" t="str">
        <x:v>c. 1946</x:v>
      </x:c>
      <x:c r="D17" s="66" t="str">
        <x:v>Moreda / Aller (entorno familiar)</x:v>
      </x:c>
      <x:c r="E17" s="66" t="str">
        <x:v>18/10/2023</x:v>
      </x:c>
      <x:c r="F17" s="66" t="str">
        <x:v>Residencia de Sotiello, Aller</x:v>
      </x:c>
      <x:c r="G17" s="66" t="str">
        <x:v>Miembro de otra familia Villoria de Moreda; posible conexión lejana</x:v>
      </x:c>
      <x:c r="H17" s="66" t="str">
        <x:v>Documentada, relación desconocida</x:v>
      </x:c>
      <x:c r="I17" s="66" t="str">
        <x:v>Baja</x:v>
      </x:c>
      <x:c r="J17" s="66" t="str">
        <x:v>Esquela completa: viuda de Hermógenes Castañón; hijos Amador, Mari, Rosa, Blanca, Susana, Javi, Ángel, Sonia y Vanesa Castañón Villoria; hermanos Argentina, Dora, Chuso y Luis Villoria García. Confirma presencia fuerte del apellido Villoria en Moreda, pero no la conecta con Víctor.</x:v>
      </x:c>
    </x:row>
    <x:row r="18">
      <x:c r="A18" s="66" t="str">
        <x:v>H015</x:v>
      </x:c>
      <x:c r="B18" s="66" t="str">
        <x:v>Dionisio Villoria Blanco</x:v>
      </x:c>
      <x:c r="C18" s="66"/>
      <x:c r="D18" s="66" t="str">
        <x:v>Mieres / Paxío</x:v>
      </x:c>
      <x:c r="E18" s="66" t="str">
        <x:v>01/02/2026</x:v>
      </x:c>
      <x:c r="F18" s="66" t="str">
        <x:v>Mieres</x:v>
      </x:c>
      <x:c r="G18" s="66" t="str">
        <x:v>Ejemplo de otra rama Villoria; control de homonimia</x:v>
      </x:c>
      <x:c r="H18" s="66" t="str">
        <x:v>Documentado, relación desconocida</x:v>
      </x:c>
      <x:c r="I18" s="66" t="str">
        <x:v>Baja</x:v>
      </x:c>
      <x:c r="J18" s="66" t="str">
        <x:v>La hemeroteca lo identifica como viudo de Eloína Díaz Lorenzo y vecino de Paxío. Esta clase de pareja Villoria × Díaz muestra por qué un descendiente puede llevar Villoria Díaz sin pertenecer necesariamente a la rama de Víctor.</x:v>
      </x:c>
    </x:row>
  </x:sheetData>
  <x:mergeCells>
    <x:mergeCell ref="A1:J1"/>
    <x:mergeCell ref="A2:J2"/>
  </x:mergeCells>
  <x:conditionalFormatting sqref="H4:H11">
    <x:cfRule type="expression" dxfId="8" priority="1">
      <x:formula>H4="Probable"</x:formula>
    </x:cfRule>
    <x:cfRule type="expression" dxfId="9" priority="2">
      <x:formula>H4="Pendiente"</x:formula>
    </x:cfRule>
  </x:conditionalFormatting>
  <x:conditionalFormatting sqref="I4:I11">
    <x:cfRule type="expression" dxfId="10" priority="3">
      <x:formula>I4="Muy alta"</x:formula>
    </x:cfRule>
    <x:cfRule type="expression" dxfId="11" priority="4">
      <x:formula>I4="Alta"</x:formula>
    </x:cfRule>
  </x:conditionalFormatting>
  <x:pageMargins left="0.7" right="0.7" top="0.75" bottom="0.75" header="0.3" footer="0.3"/>
  <x:tableParts count="1">
    <x:tablePart xmlns:r="http://schemas.openxmlformats.org/officeDocument/2006/relationships" r:id="Rc33db7d5372c4ca5"/>
  </x:tableParts>
</x:worksheet>
</file>

<file path=xl/worksheets/sheet6.xml><?xml version="1.0" encoding="utf-8"?>
<x:worksheet xmlns:x="http://schemas.openxmlformats.org/spreadsheetml/2006/main">
  <x:sheetFormatPr defaultRowHeight="15"/>
  <x:cols>
    <x:col min="1" max="1" width="10" hidden="0" customWidth="1"/>
    <x:col min="2" max="2" width="38" hidden="0" customWidth="1"/>
    <x:col min="3" max="3" width="72" hidden="0" customWidth="1"/>
    <x:col min="4" max="4" width="30" hidden="0" customWidth="1"/>
    <x:col min="5" max="5" width="72" hidden="0" customWidth="1"/>
  </x:cols>
  <x:sheetData>
    <x:row r="1" ht="28" customHeight="1">
      <x:c r="A1" s="5" t="str">
        <x:v>Fuentes y trazabilidad</x:v>
      </x:c>
      <x:c r="B1" s="5"/>
      <x:c r="C1" s="5"/>
      <x:c r="D1" s="5"/>
      <x:c r="E1" s="5"/>
    </x:row>
    <x:row r="2" ht="42" customHeight="1"/>
    <x:row r="3">
      <x:c r="A3" s="22" t="str">
        <x:v>ID</x:v>
      </x:c>
      <x:c r="B3" s="22" t="str">
        <x:v>Fuente</x:v>
      </x:c>
      <x:c r="C3" s="22" t="str">
        <x:v>Qué sostiene</x:v>
      </x:c>
      <x:c r="D3" s="22" t="str">
        <x:v>Nivel</x:v>
      </x:c>
      <x:c r="E3" s="22" t="str">
        <x:v>URL</x:v>
      </x:c>
    </x:row>
    <x:row r="4">
      <x:c r="A4" s="28" t="str">
        <x:v>S01</x:v>
      </x:c>
      <x:c r="B4" s="28" t="str">
        <x:v>Esquela de Luis Ángel Villoria Ordóñez</x:v>
      </x:c>
      <x:c r="C4" s="28" t="str">
        <x:v>Esposa, hijos, padres, suegros, hermano, hermano político y sobrina; defunción 23/12/2024 en Oviedo</x:v>
      </x:c>
      <x:c r="D4" s="28" t="str">
        <x:v>Primaria / directa</x:v>
      </x:c>
      <x:c r="E4" s="28" t="str">
        <x:v>https://esquelasdeasturias.com/fallecidos/luis-angel-villoria-ordonez_145108/esquelas/</x:v>
      </x:c>
    </x:row>
    <x:row r="5">
      <x:c r="A5" s="28" t="str">
        <x:v>S02</x:v>
      </x:c>
      <x:c r="B5" s="28" t="str">
        <x:v>La Nueva España - esquela de Luis Ángel</x:v>
      </x:c>
      <x:c r="C5" s="28" t="str">
        <x:v>Corrobora la composición familiar y la defunción</x:v>
      </x:c>
      <x:c r="D5" s="28" t="str">
        <x:v>Primaria / prensa</x:v>
      </x:c>
      <x:c r="E5" s="28" t="str">
        <x:v>https://esquelas.lne.es/esquela-luis-angel-villoria-ordonez/29430.html</x:v>
      </x:c>
    </x:row>
    <x:row r="6">
      <x:c r="A6" s="28" t="str">
        <x:v>S03</x:v>
      </x:c>
      <x:c r="B6" s="28" t="str">
        <x:v>BOE 07/08/1967</x:v>
      </x:c>
      <x:c r="C6" s="28" t="str">
        <x:v>Aparece D.ª Natividad Ordoñez Fernández entre las maestras del tribunal de Oviedo</x:v>
      </x:c>
      <x:c r="D6" s="28" t="str">
        <x:v>Oficial; identidad homónima</x:v>
      </x:c>
      <x:c r="E6" s="28" t="str">
        <x:v>https://boe.es/boe/dias/1967/08/07/pdfs/A11077-11102.pdf</x:v>
      </x:c>
    </x:row>
    <x:row r="7">
      <x:c r="A7" s="28" t="str">
        <x:v>S04</x:v>
      </x:c>
      <x:c r="B7" s="28" t="str">
        <x:v>PRONOR - Plan de Sostenibilidad 2023</x:v>
      </x:c>
      <x:c r="C7" s="28" t="str">
        <x:v>PRONOR se fundó a finales de 1993 en Asturias y describe su actividad</x:v>
      </x:c>
      <x:c r="D7" s="28" t="str">
        <x:v>Corporativa</x:v>
      </x:c>
      <x:c r="E7" s="28" t="str">
        <x:v>https://pronor.es/wp-content/uploads/2024/06/Plan-de-Sostenibilidad-web.pdf</x:v>
      </x:c>
    </x:row>
    <x:row r="8">
      <x:c r="A8" s="28" t="str">
        <x:v>S05</x:v>
      </x:c>
      <x:c r="B8" s="28" t="str">
        <x:v>PRONOR - Aviso legal</x:v>
      </x:c>
      <x:c r="C8" s="28" t="str">
        <x:v>Razón social, registro mercantil y domicilio actual</x:v>
      </x:c>
      <x:c r="D8" s="28" t="str">
        <x:v>Corporativa</x:v>
      </x:c>
      <x:c r="E8" s="28" t="str">
        <x:v>https://pronor.es/aviso-legal/</x:v>
      </x:c>
    </x:row>
    <x:row r="9">
      <x:c r="A9" s="28" t="str">
        <x:v>S06</x:v>
      </x:c>
      <x:c r="B9" s="28" t="str">
        <x:v>IDEPA - ficha PRONOR</x:v>
      </x:c>
      <x:c r="C9" s="28" t="str">
        <x:v>Fundación 1993, sede Llanera, actividad de instalaciones de gas</x:v>
      </x:c>
      <x:c r="D9" s="28" t="str">
        <x:v>Institucional</x:v>
      </x:c>
      <x:c r="E9" s="28" t="str">
        <x:v>https://www.idepa.es/detalle-empresa/-/asset_publisher/UA8FfgPWaKlm/content/proyectos-e-instalaciones-de-gas-del-noroeste-s-l-</x:v>
      </x:c>
    </x:row>
    <x:row r="10">
      <x:c r="A10" s="28" t="str">
        <x:v>S07</x:v>
      </x:c>
      <x:c r="B10" s="28" t="str">
        <x:v>20minutos / Europa Press - Miguel Iglesias Ballina</x:v>
      </x:c>
      <x:c r="C10" s="28" t="str">
        <x:v>Fallecimiento 06/11/2012 a los 61 años</x:v>
      </x:c>
      <x:c r="D10" s="28" t="str">
        <x:v>Prensa</x:v>
      </x:c>
      <x:c r="E10" s="28" t="str">
        <x:v>https://www.20minutos.es/noticia/1638952/0/</x:v>
      </x:c>
    </x:row>
    <x:row r="11">
      <x:c r="A11" s="28" t="str">
        <x:v>S08</x:v>
      </x:c>
      <x:c r="B11" s="28" t="str">
        <x:v>Contexto aportado por el usuario</x:v>
      </x:c>
      <x:c r="C11" s="28" t="str">
        <x:v>María 08/08/1995; Luis 1999; fundador de PRONOR; vínculos familiares con Vigo</x:v>
      </x:c>
      <x:c r="D11" s="28" t="str">
        <x:v>Usuario</x:v>
      </x:c>
      <x:c r="E11" s="28" t="str">
        <x:v>Sin URL</x:v>
      </x:c>
    </x:row>
    <x:row r="12">
      <x:c r="A12" s="39" t="str">
        <x:v>S09</x:v>
      </x:c>
      <x:c r="B12" s="39" t="str">
        <x:v>Investigación previa de la conversación</x:v>
      </x:c>
      <x:c r="C12" s="39" t="str">
        <x:v>Pistas Ordóñez/Villoria antiguas que aún no tienen fuente pública recuperada</x:v>
      </x:c>
      <x:c r="D12" s="39" t="str">
        <x:v>No usar como prueba hasta corroborar</x:v>
      </x:c>
      <x:c r="E12" s="39" t="str">
        <x:v>Sin URL</x:v>
      </x:c>
    </x:row>
    <x:row r="13">
      <x:c r="A13" s="39" t="str">
        <x:v>S10</x:v>
      </x:c>
      <x:c r="B13" s="39" t="str">
        <x:v>Infoesquelas - Víctor Villoria Díaz</x:v>
      </x:c>
      <x:c r="C13" s="39" t="str">
        <x:v>Defunción 22/09/2017 a los 88; esposa; hijos; hermano Faustino; nietos; entierro Moreda de Aller</x:v>
      </x:c>
      <x:c r="D13" s="39" t="str">
        <x:v>Esquela / directa</x:v>
      </x:c>
      <x:c r="E13" s="39" t="str">
        <x:v>https://www.infoesquelas.com/asturias/esquelas/oviedo/don-victor-villoria-diaz/36984</x:v>
      </x:c>
    </x:row>
    <x:row r="14">
      <x:c r="A14" s="39" t="str">
        <x:v>S11</x:v>
      </x:c>
      <x:c r="B14" s="39" t="str">
        <x:v>BOE 27/04/1966 - Faustino Villoría Díaz</x:v>
      </x:c>
      <x:c r="C14" s="39" t="str">
        <x:v>Aparece un Faustino Villoría Díaz en Mina Herrerías (Huelva); refuerzo biográfico, no filiación</x:v>
      </x:c>
      <x:c r="D14" s="39" t="str">
        <x:v>Oficial; identidad a contrastar</x:v>
      </x:c>
      <x:c r="E14" s="39" t="str">
        <x:v>https://www.boe.es/boe/dias/1966/04/27/pdfs/A05066-05071.pdf</x:v>
      </x:c>
    </x:row>
    <x:row r="15">
      <x:c r="A15" s="39" t="str">
        <x:v>S12</x:v>
      </x:c>
      <x:c r="B15" s="39" t="str">
        <x:v>CCOO Asturias - Miguel Ángel Iglesias Ballina</x:v>
      </x:c>
      <x:c r="C15" s="39" t="str">
        <x:v>Nacimiento en Vigo 28/07/1951 y traslado temprano a Asturias</x:v>
      </x:c>
      <x:c r="D15" s="39" t="str">
        <x:v>Biográfica sindical</x:v>
      </x:c>
      <x:c r="E15" s="39" t="str">
        <x:v>https://asturias.ccoo.es/74d0e18481f440c39b35c3f3af40e04e000062.pdf</x:v>
      </x:c>
    </x:row>
    <x:row r="16">
      <x:c r="A16" s="39" t="str">
        <x:v>S13</x:v>
      </x:c>
      <x:c r="B16" s="39" t="str">
        <x:v>Iberinform - Obras y Reparaciones Andrín SL</x:v>
      </x:c>
      <x:c r="C16" s="39" t="str">
        <x:v>José Luis Iglesias Ballina administrador solidario; Llanes; actividad incluye gas; cese 31/10/2006</x:v>
      </x:c>
      <x:c r="D16" s="39" t="str">
        <x:v>Mercantil secundaria</x:v>
      </x:c>
      <x:c r="E16" s="39" t="str">
        <x:v>https://www.iberinform.es/empresa/28578/obras-y-reparaciones-andrin</x:v>
      </x:c>
    </x:row>
    <x:row r="17">
      <x:c r="A17" s="39" t="str">
        <x:v>S14</x:v>
      </x:c>
      <x:c r="B17" s="39" t="str">
        <x:v>Esquelas de Galicia/Vigo - índice</x:v>
      </x:c>
      <x:c r="C17" s="39" t="str">
        <x:v>Francisco Javier Carbajo Acebal, fallecido 09/07/2020 en Vigo</x:v>
      </x:c>
      <x:c r="D17" s="39" t="str">
        <x:v>Índice necrológico</x:v>
      </x:c>
      <x:c r="E17" s="39" t="str">
        <x:v>https://www.esquelas.de-galicia.com/indice_alfa.asp?pagina=1017</x:v>
      </x:c>
    </x:row>
    <x:row r="18">
      <x:c r="A18" s="39" t="str">
        <x:v>S15</x:v>
      </x:c>
      <x:c r="B18" s="39" t="str">
        <x:v>Rememori - índice Oviedo</x:v>
      </x:c>
      <x:c r="C18" s="39" t="str">
        <x:v>Ignacio Carbajo Acebal, fallecido 29/08/2014 en Oviedo</x:v>
      </x:c>
      <x:c r="D18" s="39" t="str">
        <x:v>Índice necrológico</x:v>
      </x:c>
      <x:c r="E18" s="39" t="str">
        <x:v>https://www.rememori.com/esquelas/oviedo/page%3A54</x:v>
      </x:c>
    </x:row>
    <x:row r="19">
      <x:c r="A19" s="39" t="str">
        <x:v>S16</x:v>
      </x:c>
      <x:c r="B19" s="39" t="str">
        <x:v>Boletín Oficial de la Provincia de León 22/04/2015</x:v>
      </x:c>
      <x:c r="C19" s="39" t="str">
        <x:v>Juan Ignacio Villoria Ordóñez y María Begoña Iglesias de la Puente aparecen juntos en candidatura UPyD</x:v>
      </x:c>
      <x:c r="D19" s="39" t="str">
        <x:v>Oficial / refuerzo relacional</x:v>
      </x:c>
      <x:c r="E19" s="39" t="str">
        <x:v>https://static.leonoticias.com/adjuntos/fichero_128553_20150423.pdf</x:v>
      </x:c>
    </x:row>
    <x:row r="20">
      <x:c r="A20" s="39" t="str">
        <x:v>S17</x:v>
      </x:c>
      <x:c r="B20" s="39" t="str">
        <x:v>La Nueva España - María Luisa Ordóñez Fernández</x:v>
      </x:c>
      <x:c r="C20" s="39" t="str">
        <x:v>Esquela de una homónima exacta vinculada a Moreda de Aller</x:v>
      </x:c>
      <x:c r="D20" s="39" t="str">
        <x:v>Necrológica / pista</x:v>
      </x:c>
      <x:c r="E20" s="39" t="str">
        <x:v>https://esquelas.lne.es/esquela-maria-luisa-ordonez-fernandez/11583.html</x:v>
      </x:c>
    </x:row>
    <x:row r="21">
      <x:c r="A21" s="39" t="str">
        <x:v>S18</x:v>
      </x:c>
      <x:c r="B21" s="39" t="str">
        <x:v>Archivo General Militar de Guadalajara</x:v>
      </x:c>
      <x:c r="C21" s="39" t="str">
        <x:v>Expediente de Amador Villoria Díaz, caja 304217, exp. 145896</x:v>
      </x:c>
      <x:c r="D21" s="39" t="str">
        <x:v>Archivo oficial / pista</x:v>
      </x:c>
      <x:c r="E21" s="39" t="str">
        <x:v>https://patrimoniocultural.defensa.gob.es/sites/default/files/2023-04/BDST.%20Web%203.%20EPST_EPSE.%20N-Z.pdf</x:v>
      </x:c>
    </x:row>
    <x:row r="22">
      <x:c r="A22" s="39" t="str">
        <x:v>S19</x:v>
      </x:c>
      <x:c r="B22" s="39" t="str">
        <x:v>Historia del Concejo de Aller</x:v>
      </x:c>
      <x:c r="C22" s="39" t="str">
        <x:v>Referencia histórica a Manuel Villoria Díaz en Aller, 1934</x:v>
      </x:c>
      <x:c r="D22" s="39" t="str">
        <x:v>Secundaria local / pista</x:v>
      </x:c>
      <x:c r="E22" s="39" t="str">
        <x:v>https://historiadelconcejodealler.blogspot.com/2011/01/</x:v>
      </x:c>
    </x:row>
    <x:row r="23">
      <x:c r="A23" s="39" t="str">
        <x:v>S20</x:v>
      </x:c>
      <x:c r="B23" s="39" t="str">
        <x:v>BORME León 2015 - GEOMANORSA</x:v>
      </x:c>
      <x:c r="C23" s="39" t="str">
        <x:v>Juan Ignacio Villoria Ordóñez figura como administrador único hasta julio de 2015</x:v>
      </x:c>
      <x:c r="D23" s="39" t="str">
        <x:v>Oficial mercantil</x:v>
      </x:c>
      <x:c r="E23" s="39" t="str">
        <x:v>https://www.boe.es/diario_borme/txt.php?id=BORME-A-2015-130-24&amp;lang=es</x:v>
      </x:c>
    </x:row>
    <x:row r="24">
      <x:c r="A24" s="66" t="str">
        <x:v>S21</x:v>
      </x:c>
      <x:c r="B24" s="66" t="str">
        <x:v>El Comercio/CCOO - Miguel Iglesias Ballina</x:v>
      </x:c>
      <x:c r="C24" s="66" t="str">
        <x:v>Confirma Vigo 28/07/1951, fallecimiento 06/11/2012 y viuda Mari Sol González Robles; no cita padres/hermanos</x:v>
      </x:c>
      <x:c r="D24" s="66" t="str">
        <x:v>Prensa/biográfica</x:v>
      </x:c>
      <x:c r="E24" s="66" t="str">
        <x:v>https://ccoohsa.blogia.com/2012/110701-fallece-el-historico-dirigente-de-cc-oo-miguel-iglesias-ballina-a-los-61-anos.php</x:v>
      </x:c>
    </x:row>
    <x:row r="25">
      <x:c r="A25" s="66" t="str">
        <x:v>S22</x:v>
      </x:c>
      <x:c r="B25" s="66" t="str">
        <x:v>HUNOSA - Memoria 1985</x:v>
      </x:c>
      <x:c r="C25" s="66" t="str">
        <x:v>Documenta a Manuel Ordóñez Fernández como Director General de la Cuenca del Caudal</x:v>
      </x:c>
      <x:c r="D25" s="66" t="str">
        <x:v>Corporativa histórica / pista</x:v>
      </x:c>
      <x:c r="E25" s="66" t="str">
        <x:v>https://archivohistoricominero.org/wp-content/uploads/2019/08/Hunosa.-Memoria-1985_p.pdf</x:v>
      </x:c>
    </x:row>
    <x:row r="26">
      <x:c r="A26" s="66" t="str">
        <x:v>S23</x:v>
      </x:c>
      <x:c r="B26" s="66" t="str">
        <x:v>Historia del Concejo de Aller - Ordóñez Fernández</x:v>
      </x:c>
      <x:c r="C26" s="66" t="str">
        <x:v>Registra a Jerónimo Ordóñez Fernández / Jeromín en documentación histórica local</x:v>
      </x:c>
      <x:c r="D26" s="66" t="str">
        <x:v>Secundaria local / pista</x:v>
      </x:c>
      <x:c r="E26" s="66" t="str">
        <x:v>https://historiadelconcejodealler.blogspot.com/2011/02/</x:v>
      </x:c>
    </x:row>
    <x:row r="27">
      <x:c r="A27" s="66" t="str">
        <x:v>S24</x:v>
      </x:c>
      <x:c r="B27" s="66" t="str">
        <x:v>La Nueva España - María Josefa Villoria García</x:v>
      </x:c>
      <x:c r="C27" s="66" t="str">
        <x:v>Esquela completa de una familia Villoria de Moreda; útil como rama separada/control de homonimia</x:v>
      </x:c>
      <x:c r="D27" s="66" t="str">
        <x:v>Necrológica / exclusión</x:v>
      </x:c>
      <x:c r="E27" s="66" t="str">
        <x:v>https://esquelas.lne.es/esquela-maria-josefa-villoria-garcia/22659.html</x:v>
      </x:c>
    </x:row>
    <x:row r="28">
      <x:c r="A28" s="66" t="str">
        <x:v>S25</x:v>
      </x:c>
      <x:c r="B28" s="66" t="str">
        <x:v>Esquelas de Asturias - Dionisio Villoria Blanco</x:v>
      </x:c>
      <x:c r="C28" s="66" t="str">
        <x:v>Fallecimiento 01/02/2026; viudo de Eloína Díaz Lorenzo; vecino de Paxío</x:v>
      </x:c>
      <x:c r="D28" s="66" t="str">
        <x:v>Necrológica / control de homonimia</x:v>
      </x:c>
      <x:c r="E28" s="66" t="str">
        <x:v>https://esquelasdeasturias.com/hemeroteca/field_/order_/?pag=52%2F&amp;q_dateend=&amp;q_dateini=&amp;q_family=&amp;q_name=&amp;q_region=</x:v>
      </x:c>
    </x:row>
    <x:row r="29">
      <x:c r="A29" s="66" t="str">
        <x:v>S26</x:v>
      </x:c>
      <x:c r="B29" s="66" t="str">
        <x:v>Historia del Concejo de Aller - Manuel Villoria Díaz</x:v>
      </x:c>
      <x:c r="C29" s="66" t="str">
        <x:v>Menciona a Manuel Villoria Díaz en Aller y la Revolución de 1934</x:v>
      </x:c>
      <x:c r="D29" s="66" t="str">
        <x:v>Secundaria histórica / pista</x:v>
      </x:c>
      <x:c r="E29" s="66" t="str">
        <x:v>https://historiadelconcejodealler.blogspot.com/2011/01/</x:v>
      </x:c>
    </x:row>
    <x:row r="30">
      <x:c r="A30" s="66" t="str">
        <x:v>S27</x:v>
      </x:c>
      <x:c r="B30" s="66" t="str">
        <x:v>BORME León 2023 - ITASI SA</x:v>
      </x:c>
      <x:c r="C30" s="66" t="str">
        <x:v>Juan Ignacio Villoria Ordóñez figura como apoderado</x:v>
      </x:c>
      <x:c r="D30" s="66" t="str">
        <x:v>Oficial mercantil / biográfico</x:v>
      </x:c>
      <x:c r="E30" s="66" t="str">
        <x:v>https://www.boe.es/diario_borme/txt.php?id=BORME-A-2023-136-24</x:v>
      </x:c>
    </x:row>
  </x:sheetData>
  <x:mergeCells>
    <x:mergeCell ref="A1:E1"/>
  </x:mergeCells>
  <x:pageMargins left="0.7" right="0.7" top="0.75" bottom="0.75" header="0.3" footer="0.3"/>
  <x:tableParts count="1">
    <x:tablePart xmlns:r="http://schemas.openxmlformats.org/officeDocument/2006/relationships" r:id="Re54f12cb6a374669"/>
  </x:tableParts>
</x:worksheet>
</file>

<file path=xl/worksheets/sheet7.xml><?xml version="1.0" encoding="utf-8"?>
<x:worksheet xmlns:x="http://schemas.openxmlformats.org/spreadsheetml/2006/main">
  <x:sheetFormatPr defaultRowHeight="15"/>
  <x:cols>
    <x:col min="1" max="1" width="9" hidden="0" customWidth="1"/>
    <x:col min="2" max="2" width="36" hidden="0" customWidth="1"/>
    <x:col min="3" max="3" width="52" hidden="0" customWidth="1"/>
    <x:col min="4" max="4" width="22" hidden="0" customWidth="1"/>
    <x:col min="5" max="5" width="42" hidden="0" customWidth="1"/>
    <x:col min="6" max="6" width="45" hidden="0" customWidth="1"/>
    <x:col min="7" max="7" width="65" hidden="0" customWidth="1"/>
    <x:col min="8" max="8" width="44" hidden="0" customWidth="1"/>
  </x:cols>
  <x:sheetData>
    <x:row r="1" ht="28" customHeight="1">
      <x:c r="A1" s="44" t="str">
        <x:v>Dudas revisadas — pasada web 16/09/2026</x:v>
      </x:c>
      <x:c r="B1" s="44"/>
      <x:c r="C1" s="44"/>
      <x:c r="D1" s="44"/>
      <x:c r="E1" s="44"/>
      <x:c r="F1" s="44"/>
      <x:c r="G1" s="44"/>
      <x:c r="H1" s="44"/>
    </x:row>
    <x:row r="2" ht="28" customHeight="1">
      <x:c r="A2" s="28" t="str">
        <x:v>Conclusiones de la revisión: qué queda resuelto, qué sigue siendo hipótesis y qué no debe incorporarse al árbol.</x:v>
      </x:c>
      <x:c r="B2" s="28"/>
      <x:c r="C2" s="28"/>
      <x:c r="D2" s="28"/>
      <x:c r="E2" s="28"/>
      <x:c r="F2" s="28"/>
      <x:c r="G2" s="28"/>
      <x:c r="H2" s="28"/>
    </x:row>
    <x:row r="4">
      <x:c r="A4" s="48" t="str">
        <x:v>ID</x:v>
      </x:c>
      <x:c r="B4" s="48" t="str">
        <x:v>Duda / hipótesis</x:v>
      </x:c>
      <x:c r="C4" s="48" t="str">
        <x:v>Resultado de la pasada</x:v>
      </x:c>
      <x:c r="D4" s="48" t="str">
        <x:v>Estado</x:v>
      </x:c>
      <x:c r="E4" s="48" t="str">
        <x:v>Impacto en el árbol</x:v>
      </x:c>
      <x:c r="F4" s="48" t="str">
        <x:v>Siguiente prueba útil</x:v>
      </x:c>
      <x:c r="G4" s="48" t="str">
        <x:v>Fuente principal</x:v>
      </x:c>
      <x:c r="H4" s="48" t="str">
        <x:v>Notas</x:v>
      </x:c>
    </x:row>
    <x:row r="5">
      <x:c r="A5" s="28" t="str">
        <x:v>D001</x:v>
      </x:c>
      <x:c r="B5" s="28" t="str">
        <x:v>¿Faustino Villoria Díaz era hermano de Víctor?</x:v>
      </x:c>
      <x:c r="C5" s="28" t="str">
        <x:v>Sí. La esquela de Víctor lo nombra expresamente como hermano.</x:v>
      </x:c>
      <x:c r="D5" s="51" t="str">
        <x:v>RESUELTO</x:v>
      </x:c>
      <x:c r="E5" s="28" t="str">
        <x:v>Confirma un tío abuelo paterno de María.</x:v>
      </x:c>
      <x:c r="F5" s="28" t="str">
        <x:v>Localizar esquela/partida de Faustino para intentar obtener los padres de ambos.</x:v>
      </x:c>
      <x:c r="G5" s="28" t="str">
        <x:v>https://www.infoesquelas.com/asturias/esquelas/oviedo/don-victor-villoria-diaz/36984</x:v>
      </x:c>
      <x:c r="H5" s="28" t="str">
        <x:v>Faustino ya había fallecido en septiembre de 2017.</x:v>
      </x:c>
    </x:row>
    <x:row r="6">
      <x:c r="A6" s="28" t="str">
        <x:v>D002</x:v>
      </x:c>
      <x:c r="B6" s="28" t="str">
        <x:v>¿Víctor fue enterrado en Moreda de Aller?</x:v>
      </x:c>
      <x:c r="C6" s="28" t="str">
        <x:v>Sí. La esquela indica sepultura en el cementerio municipal de Moreda de Aller.</x:v>
      </x:c>
      <x:c r="D6" s="51" t="str">
        <x:v>RESUELTO</x:v>
      </x:c>
      <x:c r="E6" s="28" t="str">
        <x:v>Refuerza Moreda/Aller como geografía prioritaria para la rama Villoria–Díaz.</x:v>
      </x:c>
      <x:c r="F6" s="28" t="str">
        <x:v>Buscar matrimonio/nacimiento en Registro Civil o parroquias del concejo de Aller.</x:v>
      </x:c>
      <x:c r="G6" s="28" t="str">
        <x:v>https://www.infoesquelas.com/asturias/esquelas/oviedo/don-victor-villoria-diaz/36984</x:v>
      </x:c>
      <x:c r="H6" s="28" t="str">
        <x:v>Falleció en Oviedo el 22/09/2017 con 88 años.</x:v>
      </x:c>
    </x:row>
    <x:row r="7">
      <x:c r="A7" s="28" t="str">
        <x:v>D003</x:v>
      </x:c>
      <x:c r="B7" s="28" t="str">
        <x:v>¿La maestra Natividad Ordóñez Fernández del BOE es la abuela de María?</x:v>
      </x:c>
      <x:c r="C7" s="28" t="str">
        <x:v>Compatible, pero no demostrado. Coinciden nombre completo y Oviedo; el BOE no da edad, domicilio ni filiación.</x:v>
      </x:c>
      <x:c r="D7" s="39" t="str">
        <x:v>PENDIENTE</x:v>
      </x:c>
      <x:c r="E7" s="28" t="str">
        <x:v>No usar la profesión de maestra como hecho genealógico confirmado.</x:v>
      </x:c>
      <x:c r="F7" s="28" t="str">
        <x:v>Encontrar expediente docente con fecha/lugar de nacimiento o matrimonio con Víctor.</x:v>
      </x:c>
      <x:c r="G7" s="28" t="str">
        <x:v>https://boe.es/boe/dias/1967/08/07/pdfs/A11077-11102.pdf</x:v>
      </x:c>
      <x:c r="H7" s="28" t="str">
        <x:v>El parentesco de Natividad con Luis Ángel sí está confirmado por esquelas.</x:v>
      </x:c>
    </x:row>
    <x:row r="8">
      <x:c r="A8" s="28" t="str">
        <x:v>D004</x:v>
      </x:c>
      <x:c r="B8" s="28" t="str">
        <x:v>¿Miguel Ángel Iglesias Ballina era hermano de José Luis Iglesias Ballina?</x:v>
      </x:c>
      <x:c r="C8" s="28" t="str">
        <x:v>No se ha demostrado. Está confirmado que Miguel Ángel nació en Vigo el 28/07/1951 y se trasladó joven a Asturias.</x:v>
      </x:c>
      <x:c r="D8" s="39" t="str">
        <x:v>PENDIENTE</x:v>
      </x:c>
      <x:c r="E8" s="28" t="str">
        <x:v>No incorporarlo como tío abuelo todavía.</x:v>
      </x:c>
      <x:c r="F8" s="28" t="str">
        <x:v>Partida literal de nacimiento de Miguel Ángel o esquela de sus padres/hermanos.</x:v>
      </x:c>
      <x:c r="G8" s="28" t="str">
        <x:v>https://asturias.ccoo.es/74d0e18481f440c39b35c3f3af40e04e000062.pdf</x:v>
      </x:c>
      <x:c r="H8" s="28" t="str">
        <x:v>La pista sigue siendo de prioridad muy alta por el doble apellido + Vigo + Asturias.</x:v>
      </x:c>
    </x:row>
    <x:row r="9">
      <x:c r="A9" s="28" t="str">
        <x:v>D005</x:v>
      </x:c>
      <x:c r="B9" s="28" t="str">
        <x:v>¿El José Luis Iglesias Ballina de Obras y Reparaciones Andrín era el abuelo de María?</x:v>
      </x:c>
      <x:c r="C9" s="63" t="str">
        <x:v>Se acepta como resuelto para este árbol: el José Luis Iglesias Ballina de Obras y Reparaciones Andrín se toma como el abuelo de María.</x:v>
      </x:c>
      <x:c r="D9" s="63" t="str">
        <x:v>RESUELTO</x:v>
      </x:c>
      <x:c r="E9" s="63" t="str">
        <x:v>Se incorpora la actividad de Andrín/Llanes a la biografía de José Luis Iglesias Ballina.</x:v>
      </x:c>
      <x:c r="F9" s="63" t="str">
        <x:v>Seguir buscando documento familiar o mercantil que enlace expresamente PRONOR, Isabel María y Andrín para reforzar la trazabilidad.</x:v>
      </x:c>
      <x:c r="G9" s="63" t="str">
        <x:v>https://www.iberinform.es/empresa/28578/obras-y-reparaciones-andrin</x:v>
      </x:c>
      <x:c r="H9" s="63" t="str">
        <x:v>Resolución por criterio del usuario sobre una coincidencia previamente clasificada como fuerte/probable.</x:v>
      </x:c>
    </x:row>
    <x:row r="10">
      <x:c r="A10" s="28" t="str">
        <x:v>D006</x:v>
      </x:c>
      <x:c r="B10" s="28" t="str">
        <x:v>¿El registro de José Luis Iglesias Ballina en Salamanca (2013) es el mismo?</x:v>
      </x:c>
      <x:c r="C10" s="28" t="str">
        <x:v>No se encontró ningún enlace con PRONOR, Asturias o la familia. Debe tratarse como homónimo hasta prueba contraria.</x:v>
      </x:c>
      <x:c r="D10" s="52" t="str">
        <x:v>DESCARTADO POR AHORA</x:v>
      </x:c>
      <x:c r="E10" s="28" t="str">
        <x:v>No usar para el árbol ni para biografía.</x:v>
      </x:c>
      <x:c r="F10" s="28" t="str">
        <x:v>Solo reabrir si aparece un documento que conecte esa localización con la familia.</x:v>
      </x:c>
      <x:c r="G10" s="28" t="str"/>
      <x:c r="H10" s="28" t="str">
        <x:v>Se omiten identificadores personales innecesarios.</x:v>
      </x:c>
    </x:row>
    <x:row r="11">
      <x:c r="A11" s="28" t="str">
        <x:v>D007</x:v>
      </x:c>
      <x:c r="B11" s="28" t="str">
        <x:v>¿Francisco Javier Carbajo Acebal puede ser hermano de Isabel María?</x:v>
      </x:c>
      <x:c r="C11" s="28" t="str">
        <x:v>Posible, sin prueba. Falleció en Vigo el 09/07/2020 y comparte exactamente ambos apellidos.</x:v>
      </x:c>
      <x:c r="D11" s="39" t="str">
        <x:v>PENDIENTE</x:v>
      </x:c>
      <x:c r="E11" s="28" t="str">
        <x:v>Nueva pista para la rama Carbajo–Acebal.</x:v>
      </x:c>
      <x:c r="F11" s="28" t="str">
        <x:v>Conseguir esquela completa/registro de defunción y buscar hermanos/padres.</x:v>
      </x:c>
      <x:c r="G11" s="28" t="str">
        <x:v>https://www.esquelas.de-galicia.com/indice_alfa.asp?pagina=1017</x:v>
      </x:c>
      <x:c r="H11" s="28" t="str">
        <x:v>Interesante porque introduce Vigo también en Carbajo–Acebal, pero no demuestra parentesco.</x:v>
      </x:c>
    </x:row>
    <x:row r="12">
      <x:c r="A12" s="28" t="str">
        <x:v>D008</x:v>
      </x:c>
      <x:c r="B12" s="28" t="str">
        <x:v>¿Ignacio Carbajo Acebal puede ser hermano de Isabel María?</x:v>
      </x:c>
      <x:c r="C12" s="28" t="str">
        <x:v>Posible, sin prueba. Falleció en Oviedo el 29/08/2014 y comparte exactamente ambos apellidos.</x:v>
      </x:c>
      <x:c r="D12" s="39" t="str">
        <x:v>PENDIENTE</x:v>
      </x:c>
      <x:c r="E12" s="28" t="str">
        <x:v>Nueva pista local para la rama Carbajo–Acebal.</x:v>
      </x:c>
      <x:c r="F12" s="28" t="str">
        <x:v>Conseguir esquela completa y buscar familiares.</x:v>
      </x:c>
      <x:c r="G12" s="28" t="str">
        <x:v>https://www.rememori.com/esquelas/oviedo/page%3A54</x:v>
      </x:c>
      <x:c r="H12" s="28" t="str">
        <x:v>No hay edad ni filiación en el índice localizado.</x:v>
      </x:c>
    </x:row>
    <x:row r="13">
      <x:c r="A13" s="28" t="str">
        <x:v>D009</x:v>
      </x:c>
      <x:c r="B13" s="28" t="str">
        <x:v>¿Carmen Villoria Iglesias es hija de Juan Ignacio Villoria Ordóñez?</x:v>
      </x:c>
      <x:c r="C13" s="63" t="str">
        <x:v>Se acepta como resuelto: Carmen Villoria Iglesias es hija de Juan Ignacio Villoria Ordóñez y Begoña Iglesias de la Puente.</x:v>
      </x:c>
      <x:c r="D13" s="63" t="str">
        <x:v>RESUELTO</x:v>
      </x:c>
      <x:c r="E13" s="63" t="str">
        <x:v>Cierra la rama colateral paterna inmediata.</x:v>
      </x:c>
      <x:c r="F13" s="63" t="str">
        <x:v>Buscar fecha/lugar de nacimiento de Juan Ignacio, Begoña y Carmen si se quiere completar la ficha.</x:v>
      </x:c>
      <x:c r="G13" s="63" t="str">
        <x:v>https://www.infoesquelas.com/asturias/esquelas/oviedo/don-victor-villoria-diaz/36984</x:v>
      </x:c>
      <x:c r="H13" s="63" t="str">
        <x:v>La relación se apoya en el orden familiar de la esquela y en la presencia conjunta de Juan Ignacio y Begoña en documentación pública.</x:v>
      </x:c>
    </x:row>
    <x:row r="14">
      <x:c r="A14" s="28" t="str">
        <x:v>D010</x:v>
      </x:c>
      <x:c r="B14" s="28" t="str">
        <x:v>¿Juan Ignacio Villoria Ordóñez y Begoña Iglesias de la Puente forman pareja?</x:v>
      </x:c>
      <x:c r="C14" s="28" t="str">
        <x:v>Sí para el árbol de trabajo. La esquela de Víctor los sitúa como segundo hijo y segunda hija política, y ambos aparecen juntos en una candidatura UPyD de León en 2015.</x:v>
      </x:c>
      <x:c r="D14" s="63" t="str">
        <x:v>RESUELTO</x:v>
      </x:c>
      <x:c r="E14" s="28" t="str">
        <x:v>Begoña queda enlazada como esposa de Juan Ignacio.</x:v>
      </x:c>
      <x:c r="F14" s="28" t="str">
        <x:v>Seguir buscando una fuente matrimonial o una esquela propia si se quiere una prueba literal.</x:v>
      </x:c>
      <x:c r="G14" s="28" t="str">
        <x:v>https://static.leonoticias.com/adjuntos/fichero_128553_20150423.pdf</x:v>
      </x:c>
      <x:c r="H14" s="28" t="str">
        <x:v>La coincidencia conjunta en León también encaja con la actividad mercantil de Juan Ignacio en empresas leonesas.</x:v>
      </x:c>
    </x:row>
    <x:row r="15">
      <x:c r="A15" s="28" t="str">
        <x:v>D011</x:v>
      </x:c>
      <x:c r="B15" s="28" t="str">
        <x:v>¿María Luisa Ordóñez Fernández es una pista real para la familia de Natividad?</x:v>
      </x:c>
      <x:c r="C15" s="28" t="str">
        <x:v>Sí como pista: existe una esquela con ese nombre completo vinculada a Moreda de Aller.</x:v>
      </x:c>
      <x:c r="D15" s="64" t="str">
        <x:v>PENDIENTE</x:v>
      </x:c>
      <x:c r="E15" s="28" t="str">
        <x:v>Sube la prioridad de la rama Ordóñez–Fernández en Moreda, pero no la incorpora todavía como hermana.</x:v>
      </x:c>
      <x:c r="F15" s="28" t="str">
        <x:v>Conseguir el texto completo de la esquela y localizar padres/hermanos.</x:v>
      </x:c>
      <x:c r="G15" s="28" t="str">
        <x:v>https://esquelas.lne.es/esquela-maria-luisa-ordonez-fernandez/11583.html</x:v>
      </x:c>
      <x:c r="H15" s="28" t="str">
        <x:v>Mismo doble apellido + misma localidad prioritaria.</x:v>
      </x:c>
    </x:row>
    <x:row r="16">
      <x:c r="A16" s="28" t="str">
        <x:v>D012</x:v>
      </x:c>
      <x:c r="B16" s="28" t="str">
        <x:v>¿Hay más Villoria Díaz antiguos documentados?</x:v>
      </x:c>
      <x:c r="C16" s="28" t="str">
        <x:v>Sí. El Archivo General Militar de Guadalajara indexa a Amador Villoria Díaz, y fuentes históricas de Aller mencionan a Manuel Villoria Díaz.</x:v>
      </x:c>
      <x:c r="D16" s="64" t="str">
        <x:v>PENDIENTE</x:v>
      </x:c>
      <x:c r="E16" s="28" t="str">
        <x:v>Amplía el grupo de candidatos a hermanos/primos de Víctor y Faustino.</x:v>
      </x:c>
      <x:c r="F16" s="28" t="str">
        <x:v>Localizar expedientes, fechas y lugares para comprobar si comparten padres.</x:v>
      </x:c>
      <x:c r="G16" s="28" t="str">
        <x:v>https://patrimoniocultural.defensa.gob.es/sites/default/files/2023-04/BDST.%20Web%203.%20EPST_EPSE.%20N-Z.pdf</x:v>
      </x:c>
      <x:c r="H16" s="28" t="str">
        <x:v>No se deben enlazar todavía como hermanos.</x:v>
      </x:c>
    </x:row>
    <x:row r="17">
      <x:c r="A17" s="28" t="str">
        <x:v>D013</x:v>
      </x:c>
      <x:c r="B17" s="28" t="str">
        <x:v>¿La esquela/noticia de Miguel Iglesias Ballina identifica padres o hermanos?</x:v>
      </x:c>
      <x:c r="C17" s="28" t="str">
        <x:v>No. La noticia más detallada localizada confirma Vigo, fecha de nacimiento, trayectoria y a su viuda Mari Sol González Robles, pero no da padres ni hermanos.</x:v>
      </x:c>
      <x:c r="D17" s="66" t="str">
        <x:v>PENDIENTE</x:v>
      </x:c>
      <x:c r="E17" s="28" t="str">
        <x:v>El vínculo Miguel ↔ José Luis Iglesias Ballina sigue sin cerrarse.</x:v>
      </x:c>
      <x:c r="F17" s="28" t="str">
        <x:v>Buscar esquela de Mari Sol, partida literal de Miguel o necrológica de algún progenitor.</x:v>
      </x:c>
      <x:c r="G17" s="28" t="str">
        <x:v>https://ccoohsa.blogia.com/2012/110701-fallece-el-historico-dirigente-de-cc-oo-miguel-iglesias-ballina-a-los-61-anos.php</x:v>
      </x:c>
      <x:c r="H17" s="28" t="str">
        <x:v>La nueva información útil es el nombre de la viuda, que permite nuevos cruces familiares.</x:v>
      </x:c>
    </x:row>
    <x:row r="18">
      <x:c r="A18" s="28" t="str">
        <x:v>D014</x:v>
      </x:c>
      <x:c r="B18" s="28" t="str">
        <x:v>¿Manuel Ordóñez Fernández de HUNOSA puede ser hermano de Natividad?</x:v>
      </x:c>
      <x:c r="C18" s="28" t="str">
        <x:v>Existe y está documentado en Asturias: una memoria de HUNOSA de 1985 lo sitúa como Director General de la Cuenca del Caudal. No aporta filiación.</x:v>
      </x:c>
      <x:c r="D18" s="66" t="str">
        <x:v>PENDIENTE</x:v>
      </x:c>
      <x:c r="E18" s="28" t="str">
        <x:v>Refuerza la existencia de un Ordóñez Fernández de la generación/entorno adecuados, pero no permite enlazarlo.</x:v>
      </x:c>
      <x:c r="F18" s="28" t="str">
        <x:v>Buscar expediente laboral, esquela o noticia biográfica con familiares.</x:v>
      </x:c>
      <x:c r="G18" s="28" t="str">
        <x:v>https://archivohistoricominero.org/wp-content/uploads/2019/08/Hunosa.-Memoria-1985_p.pdf</x:v>
      </x:c>
      <x:c r="H18" s="28" t="str">
        <x:v>No confundir con otros Manuel Ordóñez Fernández documentados fuera de Asturias.</x:v>
      </x:c>
    </x:row>
    <x:row r="19">
      <x:c r="A19" s="28" t="str">
        <x:v>D015</x:v>
      </x:c>
      <x:c r="B19" s="28" t="str">
        <x:v>¿Amador, Manuel o Senén Villoria Díaz pueden darse ya como hermanos de Víctor?</x:v>
      </x:c>
      <x:c r="C19" s="28" t="str">
        <x:v>No. Amador aparece en el Archivo General Militar; Manuel está documentado en Aller en 1934; Senén apareció en documentación minera previa. Ninguna fuente localizada da padres comunes.</x:v>
      </x:c>
      <x:c r="D19" s="66" t="str">
        <x:v>PENDIENTE</x:v>
      </x:c>
      <x:c r="E19" s="28" t="str">
        <x:v>Son candidatos colaterales, no hermanos confirmados.</x:v>
      </x:c>
      <x:c r="F19" s="28" t="str">
        <x:v>Pedir/consultar expedientes que incluyan lugar y fecha de nacimiento, o localizar esquelas.</x:v>
      </x:c>
      <x:c r="G19" s="28" t="str">
        <x:v>https://patrimoniocultural.defensa.gob.es/sites/default/files/2023-04/BDST.%20Web%203.%20EPST_EPSE.%20N-Z.pdf</x:v>
      </x:c>
      <x:c r="H19" s="28" t="str">
        <x:v>El doble apellido exacto no basta para establecer parentesco.</x:v>
      </x:c>
    </x:row>
    <x:row r="20">
      <x:c r="A20" s="28" t="str">
        <x:v>D016</x:v>
      </x:c>
      <x:c r="B20" s="28" t="str">
        <x:v>¿El apellido Villoria en Moreda implica parentesco cercano con Víctor?</x:v>
      </x:c>
      <x:c r="C20" s="28" t="str">
        <x:v>No necesariamente. La esquela de María Josefa Villoria García documenta otra familia Villoria muy extensa en Moreda sin ningún nombre que la conecte con Víctor/Faustino.</x:v>
      </x:c>
      <x:c r="D20" s="68" t="str">
        <x:v>DESCARTADO COMO ATAJO</x:v>
      </x:c>
      <x:c r="E20" s="28" t="str">
        <x:v>Moreda sigue siendo importante geográficamente, pero no se debe fusionar familias por apellido.</x:v>
      </x:c>
      <x:c r="F20" s="28" t="str">
        <x:v>Buscar documentos con padres/cónyuges, no solo coincidencias de apellido.</x:v>
      </x:c>
      <x:c r="G20" s="28" t="str">
        <x:v>https://esquelas.lne.es/esquela-maria-josefa-villoria-garcia/22659.html</x:v>
      </x:c>
      <x:c r="H20" s="28" t="str">
        <x:v>Esta rama se conserva como control de homonimia.</x:v>
      </x:c>
    </x:row>
    <x:row r="21">
      <x:c r="A21" s="28" t="str">
        <x:v>D017</x:v>
      </x:c>
      <x:c r="B21" s="28" t="str">
        <x:v>¿Las esquelas de Francisco Javier e Ignacio Carbajo Acebal revelan la filiación de Isabel María?</x:v>
      </x:c>
      <x:c r="C21" s="28" t="str">
        <x:v>No en las versiones/indexaciones accesibles. Se confirman nombre, fecha y localidad, pero no padres/hermanos.</x:v>
      </x:c>
      <x:c r="D21" s="66" t="str">
        <x:v>PENDIENTE</x:v>
      </x:c>
      <x:c r="E21" s="28" t="str">
        <x:v>Ambos siguen siendo candidatos útiles, especialmente Francisco Javier por Vigo.</x:v>
      </x:c>
      <x:c r="F21" s="28" t="str">
        <x:v>Localizar una versión completa de sus esquelas o registros civiles/hemeroteca familiar.</x:v>
      </x:c>
      <x:c r="G21" s="28" t="str">
        <x:v>https://www.esquelas.de-galicia.com/indice_alfa.asp?pagina=1017</x:v>
      </x:c>
      <x:c r="H21" s="28" t="str">
        <x:v>La conexión Vigo sigue siendo interesante, pero todavía no genealógica.</x:v>
      </x:c>
    </x:row>
    <x:row r="22">
      <x:c r="A22" s="28" t="str">
        <x:v>D018</x:v>
      </x:c>
      <x:c r="B22" s="28" t="str">
        <x:v>¿Jerónimo Ordóñez Fernández aporta una nueva rama útil?</x:v>
      </x:c>
      <x:c r="C22" s="28" t="str">
        <x:v>Sí como candidato documental: aparece con ese nombre en fuentes históricas del concejo de Aller. No se conocen padres ni relación con Natividad.</x:v>
      </x:c>
      <x:c r="D22" s="66" t="str">
        <x:v>PENDIENTE</x:v>
      </x:c>
      <x:c r="E22" s="28" t="str">
        <x:v>Amplía el clúster Ordóñez Fernández en Aller.</x:v>
      </x:c>
      <x:c r="F22" s="28" t="str">
        <x:v>Localizar expediente, fecha de nacimiento o familia.</x:v>
      </x:c>
      <x:c r="G22" s="28" t="str">
        <x:v>https://historiadelconcejodealler.blogspot.com/2011/02/</x:v>
      </x:c>
      <x:c r="H22" s="28" t="str">
        <x:v>Debe mantenerse separado hasta encontrar una filiación.</x:v>
      </x:c>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FormatPr defaultRowHeight="15"/>
  <x:cols>
    <x:col min="1" max="1" width="9" hidden="0" customWidth="1"/>
    <x:col min="2" max="2" width="34" hidden="0" customWidth="1"/>
    <x:col min="3" max="3" width="30" hidden="0" customWidth="1"/>
    <x:col min="4" max="4" width="20" hidden="0" customWidth="1"/>
    <x:col min="5" max="5" width="24" hidden="0" customWidth="1"/>
    <x:col min="6" max="6" width="58" hidden="0" customWidth="1"/>
    <x:col min="7" max="7" width="52" hidden="0" customWidth="1"/>
    <x:col min="8" max="8" width="24" hidden="0" customWidth="1"/>
    <x:col min="9" max="9" width="65" hidden="0" customWidth="1"/>
  </x:cols>
  <x:sheetData>
    <x:row r="1">
      <x:c r="A1" s="72" t="str">
        <x:v>Inventario de documentos revisados — genealogía de María Villoria Iglesias</x:v>
      </x:c>
      <x:c r="B1" s="72"/>
      <x:c r="C1" s="72"/>
      <x:c r="D1" s="72"/>
      <x:c r="E1" s="72"/>
      <x:c r="F1" s="72"/>
      <x:c r="G1" s="72"/>
      <x:c r="H1" s="72"/>
      <x:c r="I1" s="72"/>
    </x:row>
    <x:row r="2">
      <x:c r="A2" s="74" t="str">
        <x:v>Incluye documentos útiles, pistas y falsos positivos. 'Sin filiación' significa que el documento no nombra padres/hermanos suficientes para enlazar generaciones.</x:v>
      </x:c>
      <x:c r="B2" s="74"/>
      <x:c r="C2" s="74"/>
      <x:c r="D2" s="74"/>
      <x:c r="E2" s="74"/>
      <x:c r="F2" s="74"/>
      <x:c r="G2" s="74"/>
      <x:c r="H2" s="74"/>
      <x:c r="I2" s="74"/>
    </x:row>
    <x:row r="4">
      <x:c r="A4" s="78" t="str">
        <x:v>ID</x:v>
      </x:c>
      <x:c r="B4" s="78" t="str">
        <x:v>Persona / rama</x:v>
      </x:c>
      <x:c r="C4" s="78" t="str">
        <x:v>Tipo de documento</x:v>
      </x:c>
      <x:c r="D4" s="78" t="str">
        <x:v>Fecha / periodo</x:v>
      </x:c>
      <x:c r="E4" s="78" t="str">
        <x:v>Lugar</x:v>
      </x:c>
      <x:c r="F4" s="78" t="str">
        <x:v>Qué aporta</x:v>
      </x:c>
      <x:c r="G4" s="78" t="str">
        <x:v>Resultado genealógico</x:v>
      </x:c>
      <x:c r="H4" s="78" t="str">
        <x:v>Estado</x:v>
      </x:c>
      <x:c r="I4" s="78" t="str">
        <x:v>URL</x:v>
      </x:c>
    </x:row>
    <x:row r="5">
      <x:c r="A5" s="28" t="str">
        <x:v>DOC01</x:v>
      </x:c>
      <x:c r="B5" s="28" t="str">
        <x:v>Luis Ángel Villoria Ordóñez</x:v>
      </x:c>
      <x:c r="C5" s="28" t="str">
        <x:v>Esquela</x:v>
      </x:c>
      <x:c r="D5" s="28" t="str">
        <x:v>23/12/2024</x:v>
      </x:c>
      <x:c r="E5" s="28" t="str">
        <x:v>Oviedo</x:v>
      </x:c>
      <x:c r="F5" s="28" t="str">
        <x:v>Esposa, hijos, padres, suegros, hermano, hermano político y sobrina.</x:v>
      </x:c>
      <x:c r="G5" s="28" t="str">
        <x:v>Base principal del árbol hasta abuelos.</x:v>
      </x:c>
      <x:c r="H5" s="79" t="str">
        <x:v>ÚTIL / DIRECTO</x:v>
      </x:c>
      <x:c r="I5" s="28" t="str">
        <x:v>https://esquelasdeasturias.com/fallecidos/luis-angel-villoria-ordonez_145108/esquelas/</x:v>
      </x:c>
    </x:row>
    <x:row r="6">
      <x:c r="A6" s="28" t="str">
        <x:v>DOC02</x:v>
      </x:c>
      <x:c r="B6" s="28" t="str">
        <x:v>Víctor Villoria Díaz</x:v>
      </x:c>
      <x:c r="C6" s="28" t="str">
        <x:v>Esquela</x:v>
      </x:c>
      <x:c r="D6" s="28" t="str">
        <x:v>22/09/2017</x:v>
      </x:c>
      <x:c r="E6" s="28" t="str">
        <x:v>Oviedo / Moreda</x:v>
      </x:c>
      <x:c r="F6" s="28" t="str">
        <x:v>Edad 88; esposa Natividad; hijos Luis Ángel y Juan Ignacio; hermano Faustino; nietos; entierro Moreda.</x:v>
      </x:c>
      <x:c r="G6" s="28" t="str">
        <x:v>Confirma Faustino y fija Moreda como foco.</x:v>
      </x:c>
      <x:c r="H6" s="79" t="str">
        <x:v>ÚTIL / DIRECTO</x:v>
      </x:c>
      <x:c r="I6" s="28" t="str">
        <x:v>https://www.infoesquelas.com/asturias/esquelas/oviedo/don-victor-villoria-diaz/36984</x:v>
      </x:c>
    </x:row>
    <x:row r="7">
      <x:c r="A7" s="28" t="str">
        <x:v>DOC03</x:v>
      </x:c>
      <x:c r="B7" s="28" t="str">
        <x:v>Natividad Ordóñez Fernández</x:v>
      </x:c>
      <x:c r="C7" s="28" t="str">
        <x:v>BOE - maestras</x:v>
      </x:c>
      <x:c r="D7" s="28" t="str">
        <x:v>07/08/1967</x:v>
      </x:c>
      <x:c r="E7" s="28" t="str">
        <x:v>Oviedo</x:v>
      </x:c>
      <x:c r="F7" s="28" t="str">
        <x:v>Homónima exacta entre maestras del tribunal de Oviedo.</x:v>
      </x:c>
      <x:c r="G7" s="28" t="str">
        <x:v>Compatible, pero sin edad/filiación.</x:v>
      </x:c>
      <x:c r="H7" s="66" t="str">
        <x:v>SIN FILIACIÓN</x:v>
      </x:c>
      <x:c r="I7" s="28" t="str">
        <x:v>https://boe.es/boe/dias/1967/08/07/pdfs/A11077-11102.pdf</x:v>
      </x:c>
    </x:row>
    <x:row r="8">
      <x:c r="A8" s="28" t="str">
        <x:v>DOC04</x:v>
      </x:c>
      <x:c r="B8" s="28" t="str">
        <x:v>Faustino Villoria Díaz</x:v>
      </x:c>
      <x:c r="C8" s="28" t="str">
        <x:v>BOE</x:v>
      </x:c>
      <x:c r="D8" s="28" t="str">
        <x:v>27/04/1966</x:v>
      </x:c>
      <x:c r="E8" s="28" t="str">
        <x:v>Mina Herrerías, Huelva</x:v>
      </x:c>
      <x:c r="F8" s="28" t="str">
        <x:v>Homónimo exacto listado en Mina Herrerías.</x:v>
      </x:c>
      <x:c r="G8" s="28" t="str">
        <x:v>Refuerzo biográfico posible; la esquela de Víctor ya confirma el hermano.</x:v>
      </x:c>
      <x:c r="H8" s="66" t="str">
        <x:v>IDENTIDAD A CONTRASTAR</x:v>
      </x:c>
      <x:c r="I8" s="28" t="str">
        <x:v>https://www.boe.es/boe/dias/1966/04/27/pdfs/A05066-05071.pdf</x:v>
      </x:c>
    </x:row>
    <x:row r="9">
      <x:c r="A9" s="28" t="str">
        <x:v>DOC05</x:v>
      </x:c>
      <x:c r="B9" s="28" t="str">
        <x:v>Miguel Ángel Iglesias Ballina</x:v>
      </x:c>
      <x:c r="C9" s="28" t="str">
        <x:v>Noticia de fallecimiento</x:v>
      </x:c>
      <x:c r="D9" s="28" t="str">
        <x:v>06/11/2012</x:v>
      </x:c>
      <x:c r="E9" s="28" t="str">
        <x:v>Oviedo / origen Vigo</x:v>
      </x:c>
      <x:c r="F9" s="28" t="str">
        <x:v>Nació Vigo 28/07/1951; viuda Mari Sol González Robles; trayectoria en Asturias.</x:v>
      </x:c>
      <x:c r="G9" s="28" t="str">
        <x:v>No nombra padres/hermanos; no enlaza aún con José Luis.</x:v>
      </x:c>
      <x:c r="H9" s="66" t="str">
        <x:v>SIN FILIACIÓN</x:v>
      </x:c>
      <x:c r="I9" s="28" t="str">
        <x:v>https://ccoohsa.blogia.com/2012/110701-fallece-el-historico-dirigente-de-cc-oo-miguel-iglesias-ballina-a-los-61-anos.php</x:v>
      </x:c>
    </x:row>
    <x:row r="10">
      <x:c r="A10" s="28" t="str">
        <x:v>DOC06</x:v>
      </x:c>
      <x:c r="B10" s="28" t="str">
        <x:v>Miguel Ángel Iglesias Ballina</x:v>
      </x:c>
      <x:c r="C10" s="28" t="str">
        <x:v>Biografía CCOO</x:v>
      </x:c>
      <x:c r="D10" s="28" t="str">
        <x:v>s. XX-2012</x:v>
      </x:c>
      <x:c r="E10" s="28" t="str">
        <x:v>Vigo / Asturias</x:v>
      </x:c>
      <x:c r="F10" s="28" t="str">
        <x:v>Confirma nacimiento en Vigo y traslado temprano a Asturias.</x:v>
      </x:c>
      <x:c r="G10" s="28" t="str">
        <x:v>Refuerza geografía, no parentesco.</x:v>
      </x:c>
      <x:c r="H10" s="66" t="str">
        <x:v>SIN FILIACIÓN</x:v>
      </x:c>
      <x:c r="I10" s="28" t="str">
        <x:v>https://asturias.ccoo.es/74d0e18481f440c39b35c3f3af40e04e000062.pdf</x:v>
      </x:c>
    </x:row>
    <x:row r="11">
      <x:c r="A11" s="28" t="str">
        <x:v>DOC07</x:v>
      </x:c>
      <x:c r="B11" s="28" t="str">
        <x:v>José Luis Iglesias Ballina</x:v>
      </x:c>
      <x:c r="C11" s="28" t="str">
        <x:v>Registro mercantil - Andrín SL</x:v>
      </x:c>
      <x:c r="D11" s="28" t="str">
        <x:v>hasta 31/10/2006</x:v>
      </x:c>
      <x:c r="E11" s="28" t="str">
        <x:v>Andrín / Llanes</x:v>
      </x:c>
      <x:c r="F11" s="28" t="str">
        <x:v>Administrador solidario; actividad en construcción, fontanería, calefacción y gas.</x:v>
      </x:c>
      <x:c r="G11" s="28" t="str">
        <x:v>Aceptado como el abuelo de María por criterio de trabajo del usuario.</x:v>
      </x:c>
      <x:c r="H11" s="79" t="str">
        <x:v>RESUELTO EN ÁRBOL</x:v>
      </x:c>
      <x:c r="I11" s="28" t="str">
        <x:v>https://www.iberinform.es/empresa/28578/obras-y-reparaciones-andrin</x:v>
      </x:c>
    </x:row>
    <x:row r="12">
      <x:c r="A12" s="28" t="str">
        <x:v>DOC08</x:v>
      </x:c>
      <x:c r="B12" s="28" t="str">
        <x:v>PRONOR</x:v>
      </x:c>
      <x:c r="C12" s="28" t="str">
        <x:v>Documentación corporativa</x:v>
      </x:c>
      <x:c r="D12" s="28" t="str">
        <x:v>1993-</x:v>
      </x:c>
      <x:c r="E12" s="28" t="str">
        <x:v>Asturias / Llanera</x:v>
      </x:c>
      <x:c r="F12" s="28" t="str">
        <x:v>Empresa fundada en 1993; actividad de instalaciones de gas.</x:v>
      </x:c>
      <x:c r="G12" s="28" t="str">
        <x:v>Contexto profesional de José Luis según dato aportado por usuario.</x:v>
      </x:c>
      <x:c r="H12" s="74" t="str">
        <x:v>CONTEXTUAL</x:v>
      </x:c>
      <x:c r="I12" s="28" t="str">
        <x:v>https://pronor.es/wp-content/uploads/2024/06/Plan-de-Sostenibilidad-web.pdf</x:v>
      </x:c>
    </x:row>
    <x:row r="13">
      <x:c r="A13" s="28" t="str">
        <x:v>DOC09</x:v>
      </x:c>
      <x:c r="B13" s="28" t="str">
        <x:v>Juan Ignacio Villoria Ordóñez</x:v>
      </x:c>
      <x:c r="C13" s="28" t="str">
        <x:v>BORME - GEOMANORSA</x:v>
      </x:c>
      <x:c r="D13" s="28" t="str">
        <x:v>2015</x:v>
      </x:c>
      <x:c r="E13" s="28" t="str">
        <x:v>León</x:v>
      </x:c>
      <x:c r="F13" s="28" t="str">
        <x:v>Figura como administrador único hasta julio de 2015.</x:v>
      </x:c>
      <x:c r="G13" s="28" t="str">
        <x:v>Ayuda a fijar actividad/localización, no ascendencia.</x:v>
      </x:c>
      <x:c r="H13" s="74" t="str">
        <x:v>BIOGRÁFICO</x:v>
      </x:c>
      <x:c r="I13" s="28" t="str">
        <x:v>https://www.boe.es/diario_borme/txt.php?id=BORME-A-2015-130-24&amp;lang=es</x:v>
      </x:c>
    </x:row>
    <x:row r="14">
      <x:c r="A14" s="28" t="str">
        <x:v>DOC10</x:v>
      </x:c>
      <x:c r="B14" s="28" t="str">
        <x:v>Juan Ignacio Villoria Ordóñez</x:v>
      </x:c>
      <x:c r="C14" s="28" t="str">
        <x:v>BORME - ITASI SA</x:v>
      </x:c>
      <x:c r="D14" s="28" t="str">
        <x:v>2023</x:v>
      </x:c>
      <x:c r="E14" s="28" t="str">
        <x:v>León</x:v>
      </x:c>
      <x:c r="F14" s="28" t="str">
        <x:v>Figura como apoderado.</x:v>
      </x:c>
      <x:c r="G14" s="28" t="str">
        <x:v>Refuerzo biográfico.</x:v>
      </x:c>
      <x:c r="H14" s="74" t="str">
        <x:v>BIOGRÁFICO</x:v>
      </x:c>
      <x:c r="I14" s="28" t="str">
        <x:v>https://www.boe.es/diario_borme/txt.php?id=BORME-A-2023-136-24</x:v>
      </x:c>
    </x:row>
    <x:row r="15">
      <x:c r="A15" s="28" t="str">
        <x:v>DOC11</x:v>
      </x:c>
      <x:c r="B15" s="28" t="str">
        <x:v>Juan Ignacio + María Begoña Iglesias de la Puente</x:v>
      </x:c>
      <x:c r="C15" s="28" t="str">
        <x:v>Candidatura electoral publicada</x:v>
      </x:c>
      <x:c r="D15" s="28" t="str">
        <x:v>2015</x:v>
      </x:c>
      <x:c r="E15" s="28" t="str">
        <x:v>León</x:v>
      </x:c>
      <x:c r="F15" s="28" t="str">
        <x:v>Ambos aparecen juntos en una candidatura de UPyD.</x:v>
      </x:c>
      <x:c r="G15" s="28" t="str">
        <x:v>Refuerza la pareja, ya resuelta en el árbol.</x:v>
      </x:c>
      <x:c r="H15" s="79" t="str">
        <x:v>RESUELTO EN ÁRBOL</x:v>
      </x:c>
      <x:c r="I15" s="28" t="str">
        <x:v>https://static.leonoticias.com/adjuntos/fichero_128553_20150423.pdf</x:v>
      </x:c>
    </x:row>
    <x:row r="16">
      <x:c r="A16" s="28" t="str">
        <x:v>DOC12</x:v>
      </x:c>
      <x:c r="B16" s="28" t="str">
        <x:v>María Luisa Ordóñez Fernández</x:v>
      </x:c>
      <x:c r="C16" s="28" t="str">
        <x:v>Esquela</x:v>
      </x:c>
      <x:c r="D16" s="28" t="str">
        <x:v>fecha no recuperada en esta pasada</x:v>
      </x:c>
      <x:c r="E16" s="28" t="str">
        <x:v>Moreda / Aller</x:v>
      </x:c>
      <x:c r="F16" s="28" t="str">
        <x:v>Homónima exacta vinculada a Moreda.</x:v>
      </x:c>
      <x:c r="G16" s="28" t="str">
        <x:v>Pista fuerte para la rama de Natividad, pero no nombra parentesco recuperado.</x:v>
      </x:c>
      <x:c r="H16" s="66" t="str">
        <x:v>PENDIENTE</x:v>
      </x:c>
      <x:c r="I16" s="28" t="str">
        <x:v>https://esquelas.lne.es/esquela-maria-luisa-ordonez-fernandez/11583.html</x:v>
      </x:c>
    </x:row>
    <x:row r="17">
      <x:c r="A17" s="28" t="str">
        <x:v>DOC13</x:v>
      </x:c>
      <x:c r="B17" s="28" t="str">
        <x:v>Manuel Ordóñez Fernández</x:v>
      </x:c>
      <x:c r="C17" s="28" t="str">
        <x:v>Memoria HUNOSA</x:v>
      </x:c>
      <x:c r="D17" s="28" t="str">
        <x:v>1985</x:v>
      </x:c>
      <x:c r="E17" s="28" t="str">
        <x:v>Cuenca del Caudal</x:v>
      </x:c>
      <x:c r="F17" s="28" t="str">
        <x:v>Director General de la Cuenca del Caudal.</x:v>
      </x:c>
      <x:c r="G17" s="28" t="str">
        <x:v>Exacto doble apellido; sin edad ni familiares.</x:v>
      </x:c>
      <x:c r="H17" s="66" t="str">
        <x:v>SIN FILIACIÓN</x:v>
      </x:c>
      <x:c r="I17" s="28" t="str">
        <x:v>https://archivohistoricominero.org/wp-content/uploads/2019/08/Hunosa.-Memoria-1985_p.pdf</x:v>
      </x:c>
    </x:row>
    <x:row r="18">
      <x:c r="A18" s="28" t="str">
        <x:v>DOC14</x:v>
      </x:c>
      <x:c r="B18" s="28" t="str">
        <x:v>Jerónimo Ordóñez Fernández</x:v>
      </x:c>
      <x:c r="C18" s="28" t="str">
        <x:v>Fuente histórica local</x:v>
      </x:c>
      <x:c r="D18" s="28" t="str">
        <x:v>s. XX</x:v>
      </x:c>
      <x:c r="E18" s="28" t="str">
        <x:v>Aller</x:v>
      </x:c>
      <x:c r="F18" s="28" t="str">
        <x:v>Nombre exacto documentado en el concejo; alias Jeromín.</x:v>
      </x:c>
      <x:c r="G18" s="28" t="str">
        <x:v>Amplía clúster Ordóñez Fernández en Aller.</x:v>
      </x:c>
      <x:c r="H18" s="66" t="str">
        <x:v>SIN FILIACIÓN</x:v>
      </x:c>
      <x:c r="I18" s="28" t="str">
        <x:v>https://historiadelconcejodealler.blogspot.com/2011/02/</x:v>
      </x:c>
    </x:row>
    <x:row r="19">
      <x:c r="A19" s="28" t="str">
        <x:v>DOC15</x:v>
      </x:c>
      <x:c r="B19" s="28" t="str">
        <x:v>Amador Villoria Díaz</x:v>
      </x:c>
      <x:c r="C19" s="28" t="str">
        <x:v>Archivo General Militar</x:v>
      </x:c>
      <x:c r="D19" s="28" t="str">
        <x:v>s. XX</x:v>
      </x:c>
      <x:c r="E19" s="28" t="str">
        <x:v>No indicado en índice</x:v>
      </x:c>
      <x:c r="F19" s="28" t="str">
        <x:v>Expediente 145896, caja 304217.</x:v>
      </x:c>
      <x:c r="G19" s="28" t="str">
        <x:v>Exacto doble apellido; no lugar/edad/padres en índice.</x:v>
      </x:c>
      <x:c r="H19" s="66" t="str">
        <x:v>SIN FILIACIÓN</x:v>
      </x:c>
      <x:c r="I19" s="28" t="str">
        <x:v>https://patrimoniocultural.defensa.gob.es/sites/default/files/2023-04/BDST.%20Web%203.%20EPST_EPSE.%20N-Z.pdf</x:v>
      </x:c>
    </x:row>
    <x:row r="20">
      <x:c r="A20" s="28" t="str">
        <x:v>DOC16</x:v>
      </x:c>
      <x:c r="B20" s="28" t="str">
        <x:v>Manuel Villoria Díaz</x:v>
      </x:c>
      <x:c r="C20" s="28" t="str">
        <x:v>Fuente histórica de Aller</x:v>
      </x:c>
      <x:c r="D20" s="28" t="str">
        <x:v>1934</x:v>
      </x:c>
      <x:c r="E20" s="28" t="str">
        <x:v>Aller</x:v>
      </x:c>
      <x:c r="F20" s="28" t="str">
        <x:v>Mencionado en relación con la Revolución de 1934.</x:v>
      </x:c>
      <x:c r="G20" s="28" t="str">
        <x:v>Sitúa el doble apellido en Aller; sin familia.</x:v>
      </x:c>
      <x:c r="H20" s="66" t="str">
        <x:v>SIN FILIACIÓN</x:v>
      </x:c>
      <x:c r="I20" s="28" t="str">
        <x:v>https://historiadelconcejodealler.blogspot.com/2011/01/</x:v>
      </x:c>
    </x:row>
    <x:row r="21">
      <x:c r="A21" s="28" t="str">
        <x:v>DOC17</x:v>
      </x:c>
      <x:c r="B21" s="28" t="str">
        <x:v>Senén Villoria Díaz</x:v>
      </x:c>
      <x:c r="C21" s="28" t="str">
        <x:v>Archivo Histórico Minero - resultado previo</x:v>
      </x:c>
      <x:c r="D21" s="28" t="str">
        <x:v>s. XX</x:v>
      </x:c>
      <x:c r="E21" s="28" t="str">
        <x:v>Asturias / minería</x:v>
      </x:c>
      <x:c r="F21" s="28" t="str">
        <x:v>Apareció ligado a un club de entibadores Bocamina.</x:v>
      </x:c>
      <x:c r="G21" s="28" t="str">
        <x:v>No se recuperó URL/filiación en esta pasada; mantener como candidato separado.</x:v>
      </x:c>
      <x:c r="H21" s="66" t="str">
        <x:v>FUENTE A RECUPERAR</x:v>
      </x:c>
      <x:c r="I21" s="28" t="str">
        <x:v>Sin URL recuperada</x:v>
      </x:c>
    </x:row>
    <x:row r="22">
      <x:c r="A22" s="28" t="str">
        <x:v>DOC18</x:v>
      </x:c>
      <x:c r="B22" s="28" t="str">
        <x:v>Francisco Javier Carbajo Acebal</x:v>
      </x:c>
      <x:c r="C22" s="28" t="str">
        <x:v>Índice de esquela</x:v>
      </x:c>
      <x:c r="D22" s="28" t="str">
        <x:v>09/07/2020</x:v>
      </x:c>
      <x:c r="E22" s="28" t="str">
        <x:v>Vigo</x:v>
      </x:c>
      <x:c r="F22" s="28" t="str">
        <x:v>Nombre completo, fecha y Vigo.</x:v>
      </x:c>
      <x:c r="G22" s="28" t="str">
        <x:v>Muy interesante por doble apellido + Vigo; sin familiares.</x:v>
      </x:c>
      <x:c r="H22" s="66" t="str">
        <x:v>SIN FILIACIÓN</x:v>
      </x:c>
      <x:c r="I22" s="28" t="str">
        <x:v>https://www.esquelas.de-galicia.com/indice_alfa.asp?pagina=1017</x:v>
      </x:c>
    </x:row>
    <x:row r="23">
      <x:c r="A23" s="28" t="str">
        <x:v>DOC19</x:v>
      </x:c>
      <x:c r="B23" s="28" t="str">
        <x:v>Ignacio Carbajo Acebal</x:v>
      </x:c>
      <x:c r="C23" s="28" t="str">
        <x:v>Índice de esquela</x:v>
      </x:c>
      <x:c r="D23" s="28" t="str">
        <x:v>29/08/2014</x:v>
      </x:c>
      <x:c r="E23" s="28" t="str">
        <x:v>Oviedo</x:v>
      </x:c>
      <x:c r="F23" s="28" t="str">
        <x:v>Nombre completo, fecha y Oviedo.</x:v>
      </x:c>
      <x:c r="G23" s="28" t="str">
        <x:v>Candidato de la rama Carbajo-Acebal; sin familiares.</x:v>
      </x:c>
      <x:c r="H23" s="66" t="str">
        <x:v>SIN FILIACIÓN</x:v>
      </x:c>
      <x:c r="I23" s="28" t="str">
        <x:v>https://www.rememori.com/esquelas/oviedo/page%3A54</x:v>
      </x:c>
    </x:row>
    <x:row r="24">
      <x:c r="A24" s="28" t="str">
        <x:v>DOC20</x:v>
      </x:c>
      <x:c r="B24" s="28" t="str">
        <x:v>María Josefa Villoria García</x:v>
      </x:c>
      <x:c r="C24" s="28" t="str">
        <x:v>Esquela completa</x:v>
      </x:c>
      <x:c r="D24" s="28" t="str">
        <x:v>18/10/2023</x:v>
      </x:c>
      <x:c r="E24" s="28" t="str">
        <x:v>Aller / Moreda</x:v>
      </x:c>
      <x:c r="F24" s="28" t="str">
        <x:v>Nombra esposo, 9 hijos y hermanos Argentina, Dora, Chuso y Luis Villoria García.</x:v>
      </x:c>
      <x:c r="G24" s="28" t="str">
        <x:v>Documenta otra gran familia Villoria en Moreda; no conecta con Víctor.</x:v>
      </x:c>
      <x:c r="H24" s="68" t="str">
        <x:v>RAMA SEPARADA</x:v>
      </x:c>
      <x:c r="I24" s="28" t="str">
        <x:v>https://esquelas.lne.es/esquela-maria-josefa-villoria-garcia/22659.html</x:v>
      </x:c>
    </x:row>
    <x:row r="25">
      <x:c r="A25" s="28" t="str">
        <x:v>DOC21</x:v>
      </x:c>
      <x:c r="B25" s="28" t="str">
        <x:v>Dionisio Villoria Blanco</x:v>
      </x:c>
      <x:c r="C25" s="28" t="str">
        <x:v>Hemeroteca de esquelas</x:v>
      </x:c>
      <x:c r="D25" s="28" t="str">
        <x:v>01/02/2026</x:v>
      </x:c>
      <x:c r="E25" s="28" t="str">
        <x:v>Mieres / Paxío</x:v>
      </x:c>
      <x:c r="F25" s="28" t="str">
        <x:v>Viudo de Eloína Díaz Lorenzo; vecino de Paxío.</x:v>
      </x:c>
      <x:c r="G25" s="28" t="str">
        <x:v>Control de homonimia: muestra otra combinación familiar Villoria × Díaz.</x:v>
      </x:c>
      <x:c r="H25" s="68" t="str">
        <x:v>RAMA SEPARADA</x:v>
      </x:c>
      <x:c r="I25" s="28" t="str">
        <x:v>https://esquelasdeasturias.com/hemeroteca/field_/order_/?pag=52%2F&amp;q_dateend=&amp;q_dateini=&amp;q_family=&amp;q_name=&amp;q_region=</x:v>
      </x:c>
    </x:row>
    <x:row r="26">
      <x:c r="A26" s="28" t="str">
        <x:v>DOC22</x:v>
      </x:c>
      <x:c r="B26" s="28" t="str">
        <x:v>María de los Ángeles Iglesias Ballina</x:v>
      </x:c>
      <x:c r="C26" s="28" t="str">
        <x:v>Directorio histórico previo</x:v>
      </x:c>
      <x:c r="D26" s="28" t="str">
        <x:v>sin fecha</x:v>
      </x:c>
      <x:c r="E26" s="28" t="str">
        <x:v>Roris / Pontevedra</x:v>
      </x:c>
      <x:c r="F26" s="28" t="str">
        <x:v>Doble apellido Iglesias Ballina documentado en Pontevedra.</x:v>
      </x:c>
      <x:c r="G26" s="28" t="str">
        <x:v>Apoya presencia del apellido en Galicia; sin filiación.</x:v>
      </x:c>
      <x:c r="H26" s="66" t="str">
        <x:v>FUENTE A RECUPERAR</x:v>
      </x:c>
      <x:c r="I26" s="28" t="str">
        <x:v>Sin URL recuperada</x:v>
      </x:c>
    </x:row>
    <x:row r="27">
      <x:c r="A27" s="28" t="str">
        <x:v>DOC23</x:v>
      </x:c>
      <x:c r="B27" s="28" t="str">
        <x:v>José Luis Iglesias Ballina - Salamanca</x:v>
      </x:c>
      <x:c r="C27" s="28" t="str">
        <x:v>Documento administrativo previo</x:v>
      </x:c>
      <x:c r="D27" s="28" t="str">
        <x:v>2013</x:v>
      </x:c>
      <x:c r="E27" s="28" t="str">
        <x:v>Salamanca</x:v>
      </x:c>
      <x:c r="F27" s="28" t="str">
        <x:v>Homónimo exacto, sin vínculo con Asturias/PRONOR/familia.</x:v>
      </x:c>
      <x:c r="G27" s="28" t="str">
        <x:v>No usar en el árbol salvo nueva conexión.</x:v>
      </x:c>
      <x:c r="H27" s="68" t="str">
        <x:v>DESCARTADO POR AHORA</x:v>
      </x:c>
      <x:c r="I27" s="28" t="str">
        <x:v>Sin URL conservada</x:v>
      </x:c>
    </x:row>
    <x:row r="28">
      <x:c r="A28" s="28" t="str">
        <x:v>DOC24</x:v>
      </x:c>
      <x:c r="B28" s="28" t="str">
        <x:v>Otros Villoria Díaz</x:v>
      </x:c>
      <x:c r="C28" s="28" t="str">
        <x:v>Comparación de esquelas/archivos</x:v>
      </x:c>
      <x:c r="D28" s="28" t="str">
        <x:v>s. XX-XXI</x:v>
      </x:c>
      <x:c r="E28" s="28" t="str">
        <x:v>Asturias y otras regiones</x:v>
      </x:c>
      <x:c r="F28" s="28" t="str">
        <x:v>Existen múltiples personas con el doble apellido exacto.</x:v>
      </x:c>
      <x:c r="G28" s="28" t="str">
        <x:v>Demuestra que el doble apellido no basta para unir ramas.</x:v>
      </x:c>
      <x:c r="H28" s="80" t="str">
        <x:v>CONTROL DE HOMONIMIA</x:v>
      </x:c>
      <x:c r="I28" s="28" t="str">
        <x:v>Varias fuentes</x:v>
      </x:c>
    </x:row>
  </x:sheetData>
  <x:mergeCells>
    <x:mergeCell ref="A1:I1"/>
    <x:mergeCell ref="A2:I2"/>
  </x:mergeCells>
  <x:pageMargins left="0.7" right="0.7" top="0.75" bottom="0.75" header="0.3" footer="0.3"/>
</x:worksheet>
</file>