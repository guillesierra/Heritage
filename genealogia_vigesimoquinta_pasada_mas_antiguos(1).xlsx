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1e95f045c14e95" /></Relationships>
</file>

<file path=xl/workbook.xml><?xml version="1.0" encoding="utf-8"?>
<x:workbook xmlns:x="http://schemas.openxmlformats.org/spreadsheetml/2006/main">
  <x:sheets>
    <x:sheet xmlns:r="http://schemas.openxmlformats.org/officeDocument/2006/relationships" name="Resultados" sheetId="1" r:id="Rcd2378cb459e47c8"/>
    <x:sheet xmlns:r="http://schemas.openxmlformats.org/officeDocument/2006/relationships" name="Fuentes" sheetId="2" r:id="R24f624de37da4e0c"/>
    <x:sheet xmlns:r="http://schemas.openxmlformats.org/officeDocument/2006/relationships" name="Resumen" sheetId="3" r:id="R72a94ac8b564483d"/>
    <x:sheet xmlns:r="http://schemas.openxmlformats.org/officeDocument/2006/relationships" name="Control enlaces" sheetId="4" r:id="R054f77c1b5d14b37"/>
    <x:sheet xmlns:r="http://schemas.openxmlformats.org/officeDocument/2006/relationships" name="Auditoría lugares" sheetId="5" r:id="Rcc2ffba03982498d"/>
    <x:sheet xmlns:r="http://schemas.openxmlformats.org/officeDocument/2006/relationships" name="Más antiguos" sheetId="6" r:id="R7f1875c1583e48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55CC"/>
      <x:name val="Carlito"/>
    </x:font>
    <x:font>
      <x:b/>
      <x:sz val="16"/>
      <x:color rgb="FFFFFFFF"/>
      <x:name val="Carlito"/>
    </x:font>
    <x:font>
      <x:b/>
      <x:sz val="11"/>
      <x:name val="Carlito"/>
    </x:font>
  </x:fonts>
  <x:fills count="45">
    <x:fill>
      <x:patternFill patternType="none"/>
    </x:fill>
    <x:fill>
      <x:patternFill patternType="gray125"/>
    </x:fill>
    <x:fill>
      <x:patternFill patternType="solid">
        <x:fgColor rgb="FF1F4E78"/>
      </x:patternFill>
    </x:fill>
    <x:fill>
      <x:patternFill patternType="solid">
        <x:fgColor rgb="FF38761D"/>
      </x:patternFill>
    </x:fill>
    <x:fill>
      <x:patternFill patternType="solid">
        <x:fgColor rgb="FFD9EAF7"/>
      </x:patternFill>
    </x:fill>
    <x:fill>
      <x:patternFill patternType="solid">
        <x:fgColor rgb="FFFFF2CC"/>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1F4E78"/>
      </x:patternFill>
    </x:fill>
    <x:fill>
      <x:patternFill patternType="solid">
        <x:fgColor rgb="FFFCE5CD"/>
      </x:patternFill>
    </x:fill>
    <x:fill>
      <x:patternFill patternType="solid">
        <x:fgColor rgb="FFFFF2CC"/>
      </x:patternFill>
    </x:fill>
    <x:fill>
      <x:patternFill patternType="solid">
        <x:fgColor rgb="FF7030A0"/>
      </x:patternFill>
    </x:fill>
    <x:fill>
      <x:patternFill patternType="solid">
        <x:fgColor rgb="FFF4B183"/>
      </x:patternFill>
    </x:fill>
    <x:fill>
      <x:patternFill patternType="solid">
        <x:fgColor rgb="FFFFF2CC"/>
      </x:patternFill>
    </x:fill>
    <x:fill>
      <x:patternFill patternType="solid">
        <x:fgColor rgb="FFFCE5CD"/>
      </x:patternFill>
    </x:fill>
    <x:fill>
      <x:patternFill patternType="solid">
        <x:fgColor rgb="FFFFF2CC"/>
      </x:patternFill>
    </x:fill>
    <x:fill>
      <x:patternFill patternType="solid">
        <x:fgColor rgb="FFFCE5CD"/>
      </x:patternFill>
    </x:fill>
    <x:fill>
      <x:patternFill patternType="solid">
        <x:fgColor rgb="FFFFF2CC"/>
      </x:patternFill>
    </x:fill>
    <x:fill>
      <x:patternFill patternType="solid">
        <x:fgColor rgb="FFFCE5CD"/>
      </x:patternFill>
    </x:fill>
    <x:fill>
      <x:patternFill patternType="solid">
        <x:fgColor rgb="FF7030A0"/>
      </x:patternFill>
    </x:fill>
    <x:fill>
      <x:patternFill patternType="solid">
        <x:fgColor rgb="FFFCE5CD"/>
      </x:patternFill>
    </x:fill>
    <x:fill>
      <x:patternFill patternType="solid">
        <x:fgColor rgb="FFFFF2CC"/>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CE5CD"/>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5B3A29"/>
      </x:patternFill>
    </x:fill>
    <x:fill>
      <x:patternFill patternType="solid">
        <x:fgColor rgb="FFE2F0D9"/>
      </x:patternFill>
    </x:fill>
    <x:fill>
      <x:patternFill patternType="solid">
        <x:fgColor rgb="FFFCE5CD"/>
      </x:patternFill>
    </x:fill>
  </x:fills>
  <x:borders count="2">
    <x:border/>
    <x:border/>
  </x:borders>
  <x:cellStyleXfs count="1">
    <x:xf numFmtId="0" fontId="0" fillId="0" borderId="0"/>
  </x:cellStyleXfs>
  <x:cellXfs count="1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3" fillId="2" borderId="0" xfId="0" applyNumberFormat="1" applyFont="1" applyFill="1" applyBorder="1" applyAlignment="1">
      <x:alignment horizontal="center" wrapText="1"/>
    </x:xf>
    <x:xf numFmtId="0" fontId="4" fillId="4"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0" borderId="0" xfId="0" applyNumberFormat="1" applyFont="1" applyFill="1" applyBorder="1"/>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applyAlignment="1">
      <x:alignment vertical="top" wrapText="1"/>
    </x:xf>
    <x:xf numFmtId="0" fontId="0" fillId="12" borderId="0" xfId="0" applyNumberFormat="1" applyFont="1" applyFill="1" applyBorder="1"/>
    <x:xf numFmtId="0" fontId="0" fillId="12" borderId="0" xfId="0" applyNumberFormat="1" applyFont="1" applyFill="1" applyBorder="1" applyAlignment="1">
      <x:alignment wrapText="1"/>
    </x:xf>
    <x:xf numFmtId="0" fontId="0" fillId="13" borderId="0" xfId="0" applyNumberFormat="1" applyFont="1" applyFill="1" applyBorder="1" applyAlignment="1">
      <x:alignment vertical="top" wrapText="1"/>
    </x:xf>
    <x:xf numFmtId="0" fontId="0" fillId="13" borderId="0" xfId="0" applyNumberFormat="1" applyFont="1" applyFill="1" applyBorder="1"/>
    <x:xf numFmtId="0" fontId="0" fillId="13"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6" borderId="0" xfId="0" applyNumberFormat="1" applyFont="1" applyFill="1" applyBorder="1" applyAlignment="1">
      <x:alignment vertical="top" wrapText="1"/>
    </x:xf>
    <x:xf numFmtId="0" fontId="0" fillId="16" borderId="0" xfId="0" applyNumberFormat="1" applyFont="1" applyFill="1" applyBorder="1"/>
    <x:xf numFmtId="0" fontId="0" fillId="16"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horizontal="center" wrapText="1"/>
    </x:xf>
    <x:xf numFmtId="0" fontId="1"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0" fillId="19" borderId="0" xfId="0" applyNumberFormat="1" applyFont="1" applyFill="1" applyBorder="1" applyAlignment="1">
      <x:alignment vertical="top" wrapText="1"/>
    </x:xf>
    <x:xf numFmtId="0" fontId="0" fillId="19" borderId="0" xfId="0" applyNumberFormat="1" applyFont="1" applyFill="1" applyBorder="1"/>
    <x:xf numFmtId="0" fontId="0" fillId="19" borderId="0" xfId="0" applyNumberFormat="1" applyFont="1" applyFill="1" applyBorder="1" applyAlignment="1">
      <x:alignment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0"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wrapText="1"/>
    </x:xf>
    <x:xf numFmtId="0" fontId="0" fillId="22" borderId="0" xfId="0" applyNumberFormat="1" applyFont="1" applyFill="1" applyBorder="1" applyAlignment="1">
      <x:alignment vertical="top" wrapText="1"/>
    </x:xf>
    <x:xf numFmtId="0" fontId="0" fillId="22" borderId="0" xfId="0" applyNumberFormat="1" applyFont="1" applyFill="1" applyBorder="1" applyAlignment="1">
      <x:alignment wrapText="1"/>
    </x:xf>
    <x:xf numFmtId="0" fontId="0" fillId="23" borderId="0" xfId="0" applyNumberFormat="1" applyFont="1" applyFill="1" applyBorder="1" applyAlignment="1">
      <x:alignment wrapText="1"/>
    </x:xf>
    <x:xf numFmtId="0" fontId="0" fillId="22" borderId="0" xfId="0" applyNumberFormat="1" applyFont="1" applyFill="1" applyBorder="1"/>
    <x:xf numFmtId="0" fontId="0" fillId="24" borderId="0" xfId="0" applyNumberFormat="1" applyFont="1" applyFill="1" applyBorder="1" applyAlignment="1">
      <x:alignment vertical="top" wrapText="1"/>
    </x:xf>
    <x:xf numFmtId="0" fontId="0" fillId="24" borderId="0" xfId="0" applyNumberFormat="1" applyFont="1" applyFill="1" applyBorder="1" applyAlignment="1">
      <x:alignment wrapText="1"/>
    </x:xf>
    <x:xf numFmtId="0" fontId="0" fillId="25" borderId="0" xfId="0" applyNumberFormat="1" applyFont="1" applyFill="1" applyBorder="1" applyAlignment="1">
      <x:alignment wrapText="1"/>
    </x:xf>
    <x:xf numFmtId="0" fontId="0" fillId="24" borderId="0" xfId="0" applyNumberFormat="1" applyFont="1" applyFill="1" applyBorder="1"/>
    <x:xf numFmtId="0" fontId="0" fillId="26" borderId="0" xfId="0" applyNumberFormat="1" applyFont="1" applyFill="1" applyBorder="1" applyAlignment="1">
      <x:alignment vertical="top" wrapText="1"/>
    </x:xf>
    <x:xf numFmtId="0" fontId="0" fillId="26" borderId="0" xfId="0" applyNumberFormat="1" applyFont="1" applyFill="1" applyBorder="1" applyAlignment="1">
      <x:alignment wrapText="1"/>
    </x:xf>
    <x:xf numFmtId="0" fontId="0" fillId="26" borderId="0" xfId="0" applyNumberFormat="1" applyFont="1" applyFill="1" applyBorder="1"/>
    <x:xf numFmtId="0" fontId="0" fillId="27" borderId="0" xfId="0" applyNumberFormat="1" applyFont="1" applyFill="1" applyBorder="1" applyAlignment="1">
      <x:alignment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29" borderId="0" xfId="0" applyNumberFormat="1" applyFont="1" applyFill="1" applyBorder="1"/>
    <x:xf numFmtId="0" fontId="0" fillId="29" borderId="0" xfId="0" applyNumberFormat="1" applyFont="1" applyFill="1" applyBorder="1" applyAlignment="1">
      <x:alignment wrapText="1"/>
    </x:xf>
    <x:xf numFmtId="0" fontId="0" fillId="30" borderId="0" xfId="0" applyNumberFormat="1" applyFont="1" applyFill="1" applyBorder="1" applyAlignment="1">
      <x:alignment vertical="top" wrapText="1"/>
    </x:xf>
    <x:xf numFmtId="0" fontId="0" fillId="30" borderId="0" xfId="0" applyNumberFormat="1" applyFont="1" applyFill="1" applyBorder="1" applyAlignment="1">
      <x:alignment wrapText="1"/>
    </x:xf>
    <x:xf numFmtId="0" fontId="0" fillId="30" borderId="0" xfId="0" applyNumberFormat="1" applyFont="1" applyFill="1" applyBorder="1"/>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0" fillId="18" borderId="0" xfId="0" applyNumberFormat="1" applyFont="1" applyFill="1" applyBorder="1"/>
    <x:xf numFmtId="0" fontId="0" fillId="31" borderId="0" xfId="0" applyNumberFormat="1" applyFont="1" applyFill="1" applyBorder="1" applyAlignment="1">
      <x:alignment vertical="top"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1" fillId="32" borderId="0" xfId="0" applyNumberFormat="1" applyFont="1" applyFill="1" applyBorder="1" applyAlignment="1">
      <x:alignment horizontal="center" wrapText="1"/>
    </x:xf>
    <x:xf numFmtId="0" fontId="1" fillId="32" borderId="0" xfId="0" applyNumberFormat="1" applyFont="1" applyFill="1" applyBorder="1" applyAlignment="1">
      <x:alignment horizontal="center" vertical="center" wrapText="1"/>
    </x:xf>
    <x:xf numFmtId="0" fontId="0" fillId="31" borderId="0" xfId="0" applyNumberFormat="1" applyFont="1" applyFill="1" applyBorder="1"/>
    <x:xf numFmtId="0" fontId="0" fillId="31" borderId="0" xfId="0" applyNumberFormat="1" applyFont="1" applyFill="1" applyBorder="1" applyAlignment="1">
      <x:alignment wrapText="1"/>
    </x:xf>
    <x:xf numFmtId="0" fontId="0" fillId="33" borderId="0" xfId="0" applyNumberFormat="1" applyFont="1" applyFill="1" applyBorder="1" applyAlignment="1">
      <x:alignment vertical="top" wrapText="1"/>
    </x:xf>
    <x:xf numFmtId="0" fontId="0" fillId="33" borderId="0" xfId="0" applyNumberFormat="1" applyFont="1" applyFill="1" applyBorder="1"/>
    <x:xf numFmtId="0" fontId="0" fillId="33" borderId="0" xfId="0" applyNumberFormat="1" applyFont="1" applyFill="1" applyBorder="1" applyAlignment="1">
      <x:alignment wrapText="1"/>
    </x:xf>
    <x:xf numFmtId="0" fontId="0" fillId="34" borderId="0" xfId="0" applyNumberFormat="1" applyFont="1" applyFill="1" applyBorder="1" applyAlignment="1">
      <x:alignment vertical="top" wrapText="1"/>
    </x:xf>
    <x:xf numFmtId="0" fontId="0" fillId="34" borderId="0" xfId="0" applyNumberFormat="1" applyFont="1" applyFill="1" applyBorder="1"/>
    <x:xf numFmtId="0" fontId="0" fillId="34"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5" borderId="0" xfId="0" applyNumberFormat="1" applyFont="1" applyFill="1" applyBorder="1" applyAlignment="1">
      <x:alignment wrapText="1"/>
    </x:xf>
    <x:xf numFmtId="0" fontId="0" fillId="36" borderId="0" xfId="0" applyNumberFormat="1" applyFont="1" applyFill="1" applyBorder="1" applyAlignment="1">
      <x:alignment wrapText="1"/>
    </x:xf>
    <x:xf numFmtId="0" fontId="0" fillId="35" borderId="0" xfId="0" applyNumberFormat="1" applyFont="1" applyFill="1" applyBorder="1"/>
    <x:xf numFmtId="0" fontId="0" fillId="37" borderId="0" xfId="0" applyNumberFormat="1" applyFont="1" applyFill="1" applyBorder="1" applyAlignment="1">
      <x:alignment vertical="top" wrapText="1"/>
    </x:xf>
    <x:xf numFmtId="0" fontId="0" fillId="37" borderId="0" xfId="0" applyNumberFormat="1" applyFont="1" applyFill="1" applyBorder="1"/>
    <x:xf numFmtId="0" fontId="0" fillId="37" borderId="0" xfId="0" applyNumberFormat="1" applyFont="1" applyFill="1" applyBorder="1" applyAlignment="1">
      <x:alignment wrapText="1"/>
    </x:xf>
    <x:xf numFmtId="0" fontId="0" fillId="38" borderId="0" xfId="0" applyNumberFormat="1" applyFont="1" applyFill="1" applyBorder="1" applyAlignment="1">
      <x:alignment vertical="top" wrapText="1"/>
    </x:xf>
    <x:xf numFmtId="0" fontId="0" fillId="38" borderId="0" xfId="0" applyNumberFormat="1" applyFont="1" applyFill="1" applyBorder="1"/>
    <x:xf numFmtId="0" fontId="0" fillId="38" borderId="0" xfId="0" applyNumberFormat="1" applyFont="1" applyFill="1" applyBorder="1" applyAlignment="1">
      <x:alignment wrapText="1"/>
    </x:xf>
    <x:xf numFmtId="0" fontId="0" fillId="39" borderId="0" xfId="0" applyNumberFormat="1" applyFont="1" applyFill="1" applyBorder="1"/>
    <x:xf numFmtId="0" fontId="0" fillId="39" borderId="0" xfId="0" applyNumberFormat="1" applyFont="1" applyFill="1" applyBorder="1" applyAlignment="1">
      <x:alignment wrapText="1"/>
    </x:xf>
    <x:xf numFmtId="0" fontId="0" fillId="39" borderId="0" xfId="0" applyNumberFormat="1" applyFont="1" applyFill="1" applyBorder="1" applyAlignment="1">
      <x:alignment vertical="top" wrapText="1"/>
    </x:xf>
    <x:xf numFmtId="0" fontId="0" fillId="40" borderId="0" xfId="0" applyNumberFormat="1" applyFont="1" applyFill="1" applyBorder="1"/>
    <x:xf numFmtId="0" fontId="0" fillId="40" borderId="0" xfId="0" applyNumberFormat="1" applyFont="1" applyFill="1" applyBorder="1" applyAlignment="1">
      <x:alignment wrapText="1"/>
    </x:xf>
    <x:xf numFmtId="0" fontId="0" fillId="40" borderId="0"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2"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1" fillId="42" borderId="0" xfId="0" applyNumberFormat="1" applyFont="1" applyFill="1" applyBorder="1" applyAlignment="1">
      <x:alignment horizontal="center" wrapText="1"/>
    </x:xf>
    <x:xf numFmtId="0" fontId="1" fillId="42" borderId="0" xfId="0" applyNumberFormat="1" applyFont="1" applyFill="1" applyBorder="1" applyAlignment="1">
      <x:alignment horizontal="center" vertical="center" wrapText="1"/>
    </x:xf>
    <x:xf numFmtId="0" fontId="0" fillId="43" borderId="0" xfId="0" applyNumberFormat="1" applyFont="1" applyFill="1" applyBorder="1" applyAlignment="1">
      <x:alignment vertical="top" wrapText="1"/>
    </x:xf>
    <x:xf numFmtId="0" fontId="0" fillId="44" borderId="0" xfId="0" applyNumberFormat="1" applyFont="1" applyFill="1" applyBorder="1" applyAlignment="1">
      <x:alignment vertical="top" wrapText="1"/>
    </x:xf>
    <x:xf numFmtId="0" fontId="0" fillId="41" borderId="0" xfId="0" applyNumberFormat="1" applyFont="1" applyFill="1" applyBorder="1"/>
    <x:xf numFmtId="0" fontId="0" fillId="41" borderId="0" xfId="0" applyNumberFormat="1" applyFont="1" applyFill="1" applyBorder="1" applyAlignment="1">
      <x:alignment wrapText="1"/>
    </x:xf>
  </x:cellXfs>
  <x:cellStyles count="1">
    <x:cellStyle name="Normal" xfId="0"/>
  </x:cellStyles>
  <x:dxfs count="5">
    <x:dxf>
      <x:fill>
        <x:patternFill>
          <x:bgColor rgb="FFD9EAD3"/>
        </x:patternFill>
      </x:fill>
    </x:dxf>
    <x:dxf>
      <x:fill>
        <x:patternFill>
          <x:bgColor rgb="FFFFF2CC"/>
        </x:patternFill>
      </x:fill>
    </x:dxf>
    <x:dxf>
      <x:fill>
        <x:patternFill>
          <x:bgColor rgb="FFF4CCCC"/>
        </x:patternFill>
      </x:fill>
    </x:dxf>
    <x:dxf>
      <x:fill>
        <x:patternFill>
          <x:bgColor rgb="FFFCE5CD"/>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503c54a89a4e0c" /><Relationship Type="http://schemas.openxmlformats.org/officeDocument/2006/relationships/theme" Target="/xl/theme/theme1.xml" Id="R79297fec5ab94a9f" /><Relationship Type="http://schemas.openxmlformats.org/officeDocument/2006/relationships/sharedStrings" Target="/xl/sharedStrings.xml" Id="R8a35225f9f8947bb" /><Relationship Type="http://schemas.openxmlformats.org/officeDocument/2006/relationships/worksheet" Target="/xl/worksheets/sheet1.xml" Id="Rcd2378cb459e47c8" /><Relationship Type="http://schemas.openxmlformats.org/officeDocument/2006/relationships/worksheet" Target="/xl/worksheets/sheet2.xml" Id="R24f624de37da4e0c" /><Relationship Type="http://schemas.openxmlformats.org/officeDocument/2006/relationships/worksheet" Target="/xl/worksheets/sheet3.xml" Id="R72a94ac8b564483d" /><Relationship Type="http://schemas.openxmlformats.org/officeDocument/2006/relationships/worksheet" Target="/xl/worksheets/sheet4.xml" Id="R054f77c1b5d14b37" /><Relationship Type="http://schemas.openxmlformats.org/officeDocument/2006/relationships/worksheet" Target="/xl/worksheets/sheet5.xml" Id="Rcc2ffba03982498d" /><Relationship Type="http://schemas.openxmlformats.org/officeDocument/2006/relationships/worksheet" Target="/xl/worksheets/sheet6.xml" Id="R7f1875c1583e4800" /></Relationships>
</file>

<file path=xl/tables/table1.xml><?xml version="1.0" encoding="utf-8"?>
<x:table xmlns:x="http://schemas.openxmlformats.org/spreadsheetml/2006/main" id="1" name="GenealogiaResultados" displayName="GenealogiaResultados" ref="A1:K74" headerRowCount="1" totalsRowCount="0" totalsRowShown="0">
  <x:tableColumns count="11">
    <x:tableColumn id="1" name="ID"/>
    <x:tableColumn id="2" name="Persona"/>
    <x:tableColumn id="3" name="Fecha nacimiento (resultado)"/>
    <x:tableColumn id="4" name="Lugar nacimiento (resultado)"/>
    <x:tableColumn id="5" name="Fecha defunción (resultado)"/>
    <x:tableColumn id="6" name="Lugar defunción (resultado)"/>
    <x:tableColumn id="7" name="Nivel de verificación"/>
    <x:tableColumn id="8" name="Fuente principal / evidencia"/>
    <x:tableColumn id="9" name="Fuente secundaria / archivo"/>
    <x:tableColumn id="10" name="Observaciones y conflictos"/>
    <x:tableColumn id="11" name="Siguiente paso recomendado"/>
  </x:tableColumns>
  <x:tableStyleInfo name="TableStyleMedium2" showFirstColumn="0" showLastColumn="0" showRowStripes="1" showColumnStripes="0"/>
</x:table>
</file>

<file path=xl/tables/table2.xml><?xml version="1.0" encoding="utf-8"?>
<x:table xmlns:x="http://schemas.openxmlformats.org/spreadsheetml/2006/main" id="2" name="FuentesInvestigacion" displayName="FuentesInvestigacion" ref="A1:D15" headerRowCount="1" totalsRowCount="0" totalsRowShown="0">
  <x:tableColumns count="4">
    <x:tableColumn id="1" name="Fuente"/>
    <x:tableColumn id="2" name="Qué aporta"/>
    <x:tableColumn id="3" name="URL"/>
    <x:tableColumn id="4" name="Tip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3bbf9074984237" /></Relationships>
</file>

<file path=xl/worksheets/_rels/sheet2.xml.rels>&#65279;<?xml version="1.0" encoding="utf-8"?><Relationships xmlns="http://schemas.openxmlformats.org/package/2006/relationships"><Relationship Type="http://schemas.openxmlformats.org/officeDocument/2006/relationships/table" Target="/xl/tables/table2.xml" Id="R6bd5109eaf7f4867" /></Relationships>
</file>

<file path=xl/worksheets/sheet1.xml><?xml version="1.0" encoding="utf-8"?>
<x:worksheet xmlns:x="http://schemas.openxmlformats.org/spreadsheetml/2006/main">
  <x:sheetFormatPr defaultRowHeight="15"/>
  <x:cols>
    <x:col min="1" max="1" width="6" hidden="0" customWidth="1"/>
    <x:col min="2" max="2" width="36" hidden="0" customWidth="1"/>
    <x:col min="3" max="3" width="22" hidden="0" customWidth="1"/>
    <x:col min="4" max="4" width="34" hidden="0" customWidth="1"/>
    <x:col min="5" max="5" width="24" hidden="0" customWidth="1"/>
    <x:col min="6" max="6" width="28" hidden="0" customWidth="1"/>
    <x:col min="7" max="7" width="34" hidden="0" customWidth="1"/>
    <x:col min="8" max="8" width="48" hidden="0" customWidth="1"/>
    <x:col min="9" max="9" width="48" hidden="0" customWidth="1"/>
    <x:col min="10" max="10" width="64" hidden="0" customWidth="1"/>
    <x:col min="11" max="11" width="48" hidden="0" customWidth="1"/>
    <x:col min="12" max="12" width="58" hidden="0" customWidth="1"/>
    <x:col min="13" max="13" width="28" hidden="0" customWidth="1"/>
    <x:col min="14" max="14" width="28" hidden="0" customWidth="1"/>
  </x:cols>
  <x:sheetData>
    <x:row r="1">
      <x:c r="A1" s="14" t="str">
        <x:v>ID</x:v>
      </x:c>
      <x:c r="B1" s="14" t="str">
        <x:v>Persona</x:v>
      </x:c>
      <x:c r="C1" s="14" t="str">
        <x:v>Fecha nacimiento (resultado)</x:v>
      </x:c>
      <x:c r="D1" s="14" t="str">
        <x:v>Lugar nacimiento (resultado)</x:v>
      </x:c>
      <x:c r="E1" s="14" t="str">
        <x:v>Fecha defunción (resultado)</x:v>
      </x:c>
      <x:c r="F1" s="14" t="str">
        <x:v>Lugar defunción (resultado)</x:v>
      </x:c>
      <x:c r="G1" s="14" t="str">
        <x:v>Nivel de verificación</x:v>
      </x:c>
      <x:c r="H1" s="14" t="str">
        <x:v>Fuente principal / evidencia</x:v>
      </x:c>
      <x:c r="I1" s="14" t="str">
        <x:v>Fuente secundaria / archivo</x:v>
      </x:c>
      <x:c r="J1" s="14" t="str">
        <x:v>Observaciones y conflictos</x:v>
      </x:c>
      <x:c r="K1" s="14" t="str">
        <x:v>Siguiente paso recomendado</x:v>
      </x:c>
      <x:c r="L1" s="58" t="str">
        <x:v>Parentesco / enlaza con</x:v>
      </x:c>
      <x:c r="M1" s="58" t="str">
        <x:v>Certeza del vínculo</x:v>
      </x:c>
      <x:c r="N1" s="90" t="str">
        <x:v>Estado de enlace</x:v>
      </x:c>
    </x:row>
    <x:row r="2">
      <x:c r="A2" s="15" t="n">
        <x:v>1</x:v>
      </x:c>
      <x:c r="B2" s="15" t="str">
        <x:v>María Caridad Martínez Pérez</x:v>
      </x:c>
      <x:c r="C2" s="15" t="str">
        <x:v>28/06/1964</x:v>
      </x:c>
      <x:c r="D2" s="15" t="str">
        <x:v>Avilés (Asturias)</x:v>
      </x:c>
      <x:c r="E2" s="15" t="str"/>
      <x:c r="F2" s="15" t="str"/>
      <x:c r="G2" s="15" t="str">
        <x:v>Solo captura; persona posiblemente viva</x:v>
      </x:c>
      <x:c r="H2" s="18" t="str"/>
      <x:c r="I2" s="18" t="str"/>
      <x:c r="J2" s="15" t="str">
        <x:v>No he enriquecido datos de una persona posiblemente viva más allá de lo visible en la captura.</x:v>
      </x:c>
      <x:c r="K2" s="15" t="str">
        <x:v>Registro Civil de Avilés si se necesita certificación familiar</x:v>
      </x:c>
      <x:c r="L2" s="12"/>
      <x:c r="M2" s="12"/>
      <x:c r="N2" s="12" t="str">
        <x:v>ORIGINAL DEL ÁRBOL</x:v>
      </x:c>
    </x:row>
    <x:row r="3">
      <x:c r="A3" s="15" t="n">
        <x:v>2</x:v>
      </x:c>
      <x:c r="B3" s="15" t="str">
        <x:v>Santiago Martínez García</x:v>
      </x:c>
      <x:c r="C3" s="15" t="str">
        <x:v>23/05/1928</x:v>
      </x:c>
      <x:c r="D3" s="15" t="str">
        <x:v>Becerril del Carpio (Palencia)</x:v>
      </x:c>
      <x:c r="E3" s="15" t="str">
        <x:v>27/05/2024</x:v>
      </x:c>
      <x:c r="F3" s="15" t="str">
        <x:v>Avilés (Asturias)</x:v>
      </x:c>
      <x:c r="G3" s="15" t="str">
        <x:v>Defunción confirmada externamente</x:v>
      </x:c>
      <x:c r="H3" s="18" t="str">
        <x:v>https://esquelas.elcomercio.es/necrologicas/don-santiago-martinez-garcia-496757.html</x:v>
      </x:c>
      <x:c r="I3" s="18" t="str">
        <x:v>https://censoarchivos.cultura.gob.es/CensoGuia/archivodetail.htm?id=57797</x:v>
      </x:c>
      <x:c r="J3" s="15" t="str">
        <x:v>La captura pone 27/06/2024, pero la esquela de El Comercio fija el fallecimiento en Avilés el 27/05/2024 a los 96 años. La fecha de nacimiento de la captura es compatible con esa edad, pero no aparece explícita en la esquela. Sepultura: cementerio parroquial de San Cristóbal de Entreviñas (Avilés).</x:v>
      </x:c>
      <x:c r="K3" s="15" t="str">
        <x:v>Archivo Diocesano de Palencia: parroquias de Santa María/San Pedro de Becerril del Carpio; Registro Civil para 1928</x:v>
      </x:c>
      <x:c r="L3" s="12"/>
      <x:c r="M3" s="12"/>
      <x:c r="N3" s="12" t="str">
        <x:v>ORIGINAL DEL ÁRBOL</x:v>
      </x:c>
    </x:row>
    <x:row r="4">
      <x:c r="A4" s="15" t="n">
        <x:v>3</x:v>
      </x:c>
      <x:c r="B4" s="15" t="str">
        <x:v>Santiago Martínez Pérez (hno.)</x:v>
      </x:c>
      <x:c r="C4" s="15" t="str"/>
      <x:c r="D4" s="15" t="str">
        <x:v>Avilés (Asturias)</x:v>
      </x:c>
      <x:c r="E4" s="15" t="str"/>
      <x:c r="F4" s="15" t="str"/>
      <x:c r="G4" s="15" t="str">
        <x:v>Solo captura; identificación insuficiente</x:v>
      </x:c>
      <x:c r="H4" s="18" t="str"/>
      <x:c r="I4" s="18" t="str"/>
      <x:c r="J4" s="15" t="str">
        <x:v>La captura solo aporta nombre abreviado y lugar.</x:v>
      </x:c>
      <x:c r="K4" s="15" t="str">
        <x:v>Registro Civil / padrones de Avilés</x:v>
      </x:c>
      <x:c r="L4" s="12"/>
      <x:c r="M4" s="12"/>
      <x:c r="N4" s="12" t="str">
        <x:v>ORIGINAL DEL ÁRBOL</x:v>
      </x:c>
    </x:row>
    <x:row r="5">
      <x:c r="A5" s="15" t="n">
        <x:v>4</x:v>
      </x:c>
      <x:c r="B5" s="15" t="str">
        <x:v>Manuel Martínez García (hno. de Santiago)</x:v>
      </x:c>
      <x:c r="C5" s="15" t="str"/>
      <x:c r="D5" s="15" t="str"/>
      <x:c r="E5" s="15" t="str"/>
      <x:c r="F5" s="15" t="str"/>
      <x:c r="G5" s="15" t="str">
        <x:v>Solo captura; identificación incompleta</x:v>
      </x:c>
      <x:c r="H5" s="18" t="str"/>
      <x:c r="I5" s="18" t="str"/>
      <x:c r="J5" s="15" t="str">
        <x:v>Nombre inferido de la nota «Hnos.: Manuel…»; los apellidos se infieren por el parentesco, no constan escritos completos.</x:v>
      </x:c>
      <x:c r="K5" s="15" t="str">
        <x:v>Registro Civil / parroquia familiar</x:v>
      </x:c>
      <x:c r="L5" s="12"/>
      <x:c r="M5" s="12"/>
      <x:c r="N5" s="12" t="str">
        <x:v>ORIGINAL DEL ÁRBOL</x:v>
      </x:c>
    </x:row>
    <x:row r="6">
      <x:c r="A6" s="15" t="n">
        <x:v>5</x:v>
      </x:c>
      <x:c r="B6" s="15" t="str">
        <x:v>«Esco» Martínez García (hno./hna. de Santiago)</x:v>
      </x:c>
      <x:c r="C6" s="15" t="str"/>
      <x:c r="D6" s="15" t="str"/>
      <x:c r="E6" s="15" t="str"/>
      <x:c r="F6" s="15" t="str"/>
      <x:c r="G6" s="15" t="str">
        <x:v>Solo captura; nombre abreviado</x:v>
      </x:c>
      <x:c r="H6" s="18" t="str"/>
      <x:c r="I6" s="18" t="str"/>
      <x:c r="J6" s="15" t="str">
        <x:v>«Esco» aparece abreviado; podría ser un nombre o apodo. No se normaliza sin partida.</x:v>
      </x:c>
      <x:c r="K6" s="15" t="str">
        <x:v>Registro Civil / parroquia familiar</x:v>
      </x:c>
      <x:c r="L6" s="12"/>
      <x:c r="M6" s="12"/>
      <x:c r="N6" s="12" t="str">
        <x:v>ORIGINAL DEL ÁRBOL</x:v>
      </x:c>
    </x:row>
    <x:row r="7">
      <x:c r="A7" s="15" t="n">
        <x:v>6</x:v>
      </x:c>
      <x:c r="B7" s="15" t="str">
        <x:v>María Teresa Martínez García (hna. de Santiago)</x:v>
      </x:c>
      <x:c r="C7" s="15" t="str"/>
      <x:c r="D7" s="15" t="str"/>
      <x:c r="E7" s="15" t="str"/>
      <x:c r="F7" s="15" t="str"/>
      <x:c r="G7" s="15" t="str">
        <x:v>Solo captura; identificación incompleta</x:v>
      </x:c>
      <x:c r="H7" s="18" t="str"/>
      <x:c r="I7" s="18" t="str"/>
      <x:c r="J7" s="15" t="str">
        <x:v>Nombre inferido de la lista de hermanos; apellidos inferidos por parentesco.</x:v>
      </x:c>
      <x:c r="K7" s="15" t="str">
        <x:v>Registro Civil / parroquia familiar</x:v>
      </x:c>
      <x:c r="L7" s="12"/>
      <x:c r="M7" s="12"/>
      <x:c r="N7" s="12" t="str">
        <x:v>ORIGINAL DEL ÁRBOL</x:v>
      </x:c>
    </x:row>
    <x:row r="8">
      <x:c r="A8" s="15" t="n">
        <x:v>7</x:v>
      </x:c>
      <x:c r="B8" s="15" t="str">
        <x:v>Andrea Martínez García (hna. de Santiago)</x:v>
      </x:c>
      <x:c r="C8" s="15" t="str"/>
      <x:c r="D8" s="15" t="str"/>
      <x:c r="E8" s="15" t="str"/>
      <x:c r="F8" s="15" t="str"/>
      <x:c r="G8" s="15" t="str">
        <x:v>Solo captura; identificación incompleta</x:v>
      </x:c>
      <x:c r="H8" s="18" t="str"/>
      <x:c r="I8" s="18" t="str"/>
      <x:c r="J8" s="15" t="str">
        <x:v>Nombre inferido de la lista de hermanos; apellidos inferidos por parentesco.</x:v>
      </x:c>
      <x:c r="K8" s="15" t="str">
        <x:v>Registro Civil / parroquia familiar</x:v>
      </x:c>
      <x:c r="L8" s="12"/>
      <x:c r="M8" s="12"/>
      <x:c r="N8" s="12" t="str">
        <x:v>ORIGINAL DEL ÁRBOL</x:v>
      </x:c>
    </x:row>
    <x:row r="9">
      <x:c r="A9" s="15" t="n">
        <x:v>8</x:v>
      </x:c>
      <x:c r="B9" s="15" t="str">
        <x:v>María Jesús Martínez García (hna. de Santiago)</x:v>
      </x:c>
      <x:c r="C9" s="15" t="str"/>
      <x:c r="D9" s="15" t="str"/>
      <x:c r="E9" s="15" t="str"/>
      <x:c r="F9" s="15" t="str"/>
      <x:c r="G9" s="15" t="str">
        <x:v>Solo captura; identificación incompleta</x:v>
      </x:c>
      <x:c r="H9" s="18" t="str"/>
      <x:c r="I9" s="18" t="str"/>
      <x:c r="J9" s="15" t="str">
        <x:v>Nombre inferido de la lista de hermanos; apellidos inferidos por parentesco.</x:v>
      </x:c>
      <x:c r="K9" s="15" t="str">
        <x:v>Registro Civil / parroquia familiar</x:v>
      </x:c>
      <x:c r="L9" s="12"/>
      <x:c r="M9" s="12"/>
      <x:c r="N9" s="12" t="str">
        <x:v>ORIGINAL DEL ÁRBOL</x:v>
      </x:c>
    </x:row>
    <x:row r="10">
      <x:c r="A10" s="15" t="n">
        <x:v>9</x:v>
      </x:c>
      <x:c r="B10" s="15" t="str">
        <x:v>María del Carmen Martínez García (hna. de Santiago)</x:v>
      </x:c>
      <x:c r="C10" s="15" t="str"/>
      <x:c r="D10" s="15" t="str"/>
      <x:c r="E10" s="15" t="str"/>
      <x:c r="F10" s="15" t="str"/>
      <x:c r="G10" s="15" t="str">
        <x:v>Solo captura; identificación incompleta</x:v>
      </x:c>
      <x:c r="H10" s="18" t="str"/>
      <x:c r="I10" s="18" t="str"/>
      <x:c r="J10" s="15" t="str">
        <x:v>Nombre inferido de la lista de hermanos; apellidos inferidos por parentesco.</x:v>
      </x:c>
      <x:c r="K10" s="15" t="str">
        <x:v>Registro Civil / parroquia familiar</x:v>
      </x:c>
      <x:c r="L10" s="12"/>
      <x:c r="M10" s="12"/>
      <x:c r="N10" s="12" t="str">
        <x:v>ORIGINAL DEL ÁRBOL</x:v>
      </x:c>
    </x:row>
    <x:row r="11">
      <x:c r="A11" s="15" t="n">
        <x:v>10</x:v>
      </x:c>
      <x:c r="B11" s="15" t="str">
        <x:v>Nicolás Martínez Ruiz</x:v>
      </x:c>
      <x:c r="C11" s="15" t="str">
        <x:v>10/09/1899</x:v>
      </x:c>
      <x:c r="D11" s="15" t="str">
        <x:v>San Cristóbal de Entreviñas, Avilés (según captura)</x:v>
      </x:c>
      <x:c r="E11" s="15" t="str">
        <x:v>04/04/1974</x:v>
      </x:c>
      <x:c r="F11" s="15" t="str"/>
      <x:c r="G11" s="15" t="str">
        <x:v>Solo captura; conflicto interno</x:v>
      </x:c>
      <x:c r="H11" s="18" t="str"/>
      <x:c r="I11" s="18" t="str">
        <x:v>https://iglesiadeasturias.org/archivo-historico/</x:v>
      </x:c>
      <x:c r="J11" s="15" t="str">
        <x:v>La captura contiene además otra propuesta: 10/09/1898–__/__/1959, 61 años. Mantengo como resultado principal la segunda línea completa 10/09/1899–04/04/1974, pero debe resolverse con partida.</x:v>
      </x:c>
      <x:c r="K11" s="15" t="str">
        <x:v>Archivo Histórico Diocesano de Oviedo / parroquia de San Cristóbal de Entreviñas; Registro Civil de Avilés</x:v>
      </x:c>
      <x:c r="L11" s="12"/>
      <x:c r="M11" s="12"/>
      <x:c r="N11" s="12" t="str">
        <x:v>ORIGINAL DEL ÁRBOL</x:v>
      </x:c>
    </x:row>
    <x:row r="12">
      <x:c r="A12" s="15" t="n">
        <x:v>11</x:v>
      </x:c>
      <x:c r="B12" s="15" t="str">
        <x:v>Gregoria Martínez Ruiz</x:v>
      </x:c>
      <x:c r="C12" s="15" t="str">
        <x:v>22/12/1889 ?</x:v>
      </x:c>
      <x:c r="D12" s="15" t="str"/>
      <x:c r="E12" s="15" t="str">
        <x:v>14/12/1932 ?</x:v>
      </x:c>
      <x:c r="F12" s="15" t="str"/>
      <x:c r="G12" s="15" t="str">
        <x:v>Solo captura; conflicto grave</x:v>
      </x:c>
      <x:c r="H12" s="18" t="str"/>
      <x:c r="I12" s="18" t="str">
        <x:v>https://iglesiadeasturias.org/archivo-historico/</x:v>
      </x:c>
      <x:c r="J12" s="15" t="str">
        <x:v>La propia captura anota «41 años según cédula» y, a la vez, «Avilés 13/05/1980 con 89 años». Son datos incompatibles y podrían corresponder a dos personas/homónimas.</x:v>
      </x:c>
      <x:c r="K12" s="15" t="str">
        <x:v>Partida de nacimiento/bautismo + defunción en Avilés para separar homónimas</x:v>
      </x:c>
      <x:c r="L12" s="12"/>
      <x:c r="M12" s="12"/>
      <x:c r="N12" s="12" t="str">
        <x:v>ORIGINAL DEL ÁRBOL</x:v>
      </x:c>
    </x:row>
    <x:row r="13">
      <x:c r="A13" s="15" t="n">
        <x:v>12</x:v>
      </x:c>
      <x:c r="B13" s="15" t="str">
        <x:v>Eloi/Eloy Martínez Ruiz</x:v>
      </x:c>
      <x:c r="C13" s="15" t="str">
        <x:v>16/04/1896 ?</x:v>
      </x:c>
      <x:c r="D13" s="15" t="str"/>
      <x:c r="E13" s="15" t="str"/>
      <x:c r="F13" s="15" t="str"/>
      <x:c r="G13" s="15" t="str">
        <x:v>Solo captura; lectura parcial</x:v>
      </x:c>
      <x:c r="H13" s="18" t="str"/>
      <x:c r="I13" s="18" t="str">
        <x:v>https://iglesiadeasturias.org/archivo-historico/</x:v>
      </x:c>
      <x:c r="J13" s="15" t="str">
        <x:v>La línea está cortada en la captura tras la fecha de nacimiento aproximada.</x:v>
      </x:c>
      <x:c r="K13" s="15" t="str">
        <x:v>Archivo Histórico Diocesano de Oviedo / Registro Civil</x:v>
      </x:c>
      <x:c r="L13" s="12"/>
      <x:c r="M13" s="12"/>
      <x:c r="N13" s="12" t="str">
        <x:v>ORIGINAL DEL ÁRBOL</x:v>
      </x:c>
    </x:row>
    <x:row r="14">
      <x:c r="A14" s="15" t="n">
        <x:v>13</x:v>
      </x:c>
      <x:c r="B14" s="15" t="str">
        <x:v>Escolástica Martínez Ruiz</x:v>
      </x:c>
      <x:c r="C14" s="15" t="str"/>
      <x:c r="D14" s="15" t="str"/>
      <x:c r="E14" s="15" t="str"/>
      <x:c r="F14" s="15" t="str"/>
      <x:c r="G14" s="15" t="str">
        <x:v>Solo captura; nombre dudoso</x:v>
      </x:c>
      <x:c r="H14" s="18" t="str"/>
      <x:c r="I14" s="18" t="str"/>
      <x:c r="J14" s="15" t="str">
        <x:v>En la captura se lee «Hno. Escolástica / Hno. Jaime»; conviene revisar el Excel original para confirmar sexo/nombre y relación.</x:v>
      </x:c>
      <x:c r="K14" s="15" t="str">
        <x:v>Excel original + partida parroquial</x:v>
      </x:c>
      <x:c r="L14" s="12"/>
      <x:c r="M14" s="12"/>
      <x:c r="N14" s="12" t="str">
        <x:v>ORIGINAL DEL ÁRBOL</x:v>
      </x:c>
    </x:row>
    <x:row r="15">
      <x:c r="A15" s="15" t="n">
        <x:v>14</x:v>
      </x:c>
      <x:c r="B15" s="15" t="str">
        <x:v>Jaime Martínez Ruiz</x:v>
      </x:c>
      <x:c r="C15" s="15" t="str"/>
      <x:c r="D15" s="15" t="str"/>
      <x:c r="E15" s="15" t="str"/>
      <x:c r="F15" s="15" t="str"/>
      <x:c r="G15" s="15" t="str">
        <x:v>Solo captura; identificación incompleta</x:v>
      </x:c>
      <x:c r="H15" s="18" t="str"/>
      <x:c r="I15" s="18" t="str"/>
      <x:c r="J15" s="15" t="str">
        <x:v>Aparece junto a Escolástica como posible hermano.</x:v>
      </x:c>
      <x:c r="K15" s="15" t="str">
        <x:v>Archivo parroquial / Registro Civil</x:v>
      </x:c>
      <x:c r="L15" s="12"/>
      <x:c r="M15" s="12"/>
      <x:c r="N15" s="12" t="str">
        <x:v>ORIGINAL DEL ÁRBOL</x:v>
      </x:c>
    </x:row>
    <x:row r="16">
      <x:c r="A16" s="15" t="n">
        <x:v>15</x:v>
      </x:c>
      <x:c r="B16" s="15" t="str">
        <x:v>Anselmo Martínez Ruiz</x:v>
      </x:c>
      <x:c r="C16" s="15" t="str"/>
      <x:c r="D16" s="15" t="str"/>
      <x:c r="E16" s="15" t="str"/>
      <x:c r="F16" s="15" t="str"/>
      <x:c r="G16" s="15" t="str">
        <x:v>Solo captura; identificación incompleta</x:v>
      </x:c>
      <x:c r="H16" s="18" t="str"/>
      <x:c r="I16" s="18" t="str"/>
      <x:c r="J16" s="15" t="str">
        <x:v>La captura anota «Hno. Anselmo =&gt; Hija Felisa Mtnez.»</x:v>
      </x:c>
      <x:c r="K16" s="15" t="str">
        <x:v>Archivo parroquial / Registro Civil</x:v>
      </x:c>
      <x:c r="L16" s="12"/>
      <x:c r="M16" s="12"/>
      <x:c r="N16" s="12" t="str">
        <x:v>ORIGINAL DEL ÁRBOL</x:v>
      </x:c>
    </x:row>
    <x:row r="17">
      <x:c r="A17" s="15" t="n">
        <x:v>16</x:v>
      </x:c>
      <x:c r="B17" s="15" t="str">
        <x:v>Felisa Martínez (hija de Anselmo)</x:v>
      </x:c>
      <x:c r="C17" s="15" t="str"/>
      <x:c r="D17" s="15" t="str"/>
      <x:c r="E17" s="15" t="str"/>
      <x:c r="F17" s="15" t="str"/>
      <x:c r="G17" s="15" t="str">
        <x:v>Solo captura; identificación incompleta</x:v>
      </x:c>
      <x:c r="H17" s="18" t="str"/>
      <x:c r="I17" s="18" t="str"/>
      <x:c r="J17" s="15" t="str">
        <x:v>Solo figura como hija de Anselmo.</x:v>
      </x:c>
      <x:c r="K17" s="15" t="str">
        <x:v>Archivo parroquial / Registro Civil</x:v>
      </x:c>
      <x:c r="L17" s="12"/>
      <x:c r="M17" s="12"/>
      <x:c r="N17" s="12" t="str">
        <x:v>ORIGINAL DEL ÁRBOL</x:v>
      </x:c>
    </x:row>
    <x:row r="18">
      <x:c r="A18" s="15" t="n">
        <x:v>17</x:v>
      </x:c>
      <x:c r="B18" s="15" t="str">
        <x:v>Martínez [nombre ilegible/XXXX]</x:v>
      </x:c>
      <x:c r="C18" s="15" t="str">
        <x:v>13/07/1902</x:v>
      </x:c>
      <x:c r="D18" s="15" t="str"/>
      <x:c r="E18" s="15" t="str"/>
      <x:c r="F18" s="15" t="str"/>
      <x:c r="G18" s="15" t="str">
        <x:v>Solo captura; nombre ilegible</x:v>
      </x:c>
      <x:c r="H18" s="18" t="str"/>
      <x:c r="I18" s="18" t="str"/>
      <x:c r="J18" s="15" t="str">
        <x:v>La captura muestra «XXXX Mtnez. (13/07/1902- / / )».</x:v>
      </x:c>
      <x:c r="K18" s="15" t="str">
        <x:v>Revisar Excel original antes de buscar</x:v>
      </x:c>
      <x:c r="L18" s="12"/>
      <x:c r="M18" s="12"/>
      <x:c r="N18" s="12" t="str">
        <x:v>ORIGINAL DEL ÁRBOL</x:v>
      </x:c>
    </x:row>
    <x:row r="19">
      <x:c r="A19" s="15" t="n">
        <x:v>18</x:v>
      </x:c>
      <x:c r="B19" s="15" t="str">
        <x:v>Alejandro Martínez</x:v>
      </x:c>
      <x:c r="C19" s="15" t="str">
        <x:v>02/05/1907</x:v>
      </x:c>
      <x:c r="D19" s="15" t="str"/>
      <x:c r="E19" s="15" t="str">
        <x:v>03/05/1922</x:v>
      </x:c>
      <x:c r="F19" s="15" t="str"/>
      <x:c r="G19" s="15" t="str">
        <x:v>Solo captura; pendiente archivo</x:v>
      </x:c>
      <x:c r="H19" s="18" t="str"/>
      <x:c r="I19" s="18" t="str">
        <x:v>https://iglesiadeasturias.org/archivo-historico/</x:v>
      </x:c>
      <x:c r="J19" s="15" t="str">
        <x:v>Edad indicada: 15 años.</x:v>
      </x:c>
      <x:c r="K19" s="15" t="str">
        <x:v>Registro Civil / parroquia de Avilés</x:v>
      </x:c>
      <x:c r="L19" s="12"/>
      <x:c r="M19" s="12"/>
      <x:c r="N19" s="12" t="str">
        <x:v>ORIGINAL DEL ÁRBOL</x:v>
      </x:c>
    </x:row>
    <x:row r="20">
      <x:c r="A20" s="15" t="n">
        <x:v>19</x:v>
      </x:c>
      <x:c r="B20" s="15" t="str">
        <x:v>Clemente Martínez Estébanez</x:v>
      </x:c>
      <x:c r="C20" s="15" t="str">
        <x:v>1859</x:v>
      </x:c>
      <x:c r="D20" s="15" t="str">
        <x:v>San Cristóbal (vecino; no necesariamente nacido allí)</x:v>
      </x:c>
      <x:c r="E20" s="15" t="str">
        <x:v>07/10/1931</x:v>
      </x:c>
      <x:c r="F20" s="15" t="str"/>
      <x:c r="G20" s="15" t="str">
        <x:v>Solo captura; conflicto de defunción</x:v>
      </x:c>
      <x:c r="H20" s="18" t="str"/>
      <x:c r="I20" s="18" t="str">
        <x:v>https://iglesiadeasturias.org/archivo-historico/</x:v>
      </x:c>
      <x:c r="J20" s="15" t="str">
        <x:v>La captura da 07/10/1931 (72 años), pero también «10/12/1931 según cédula, 72 años». Debe contrastarse con defunción civil/parroquial.</x:v>
      </x:c>
      <x:c r="K20" s="15" t="str">
        <x:v>Registro Civil de Avilés + parroquia de San Cristóbal</x:v>
      </x:c>
      <x:c r="L20" s="12"/>
      <x:c r="M20" s="12"/>
      <x:c r="N20" s="12" t="str">
        <x:v>ORIGINAL DEL ÁRBOL</x:v>
      </x:c>
    </x:row>
    <x:row r="21">
      <x:c r="A21" s="15" t="n">
        <x:v>20</x:v>
      </x:c>
      <x:c r="B21" s="15" t="str">
        <x:v>Pedro Martínez Estébanez</x:v>
      </x:c>
      <x:c r="C21" s="15" t="str"/>
      <x:c r="D21" s="15" t="str"/>
      <x:c r="E21" s="15" t="str"/>
      <x:c r="F21" s="15" t="str"/>
      <x:c r="G21" s="15" t="str">
        <x:v>Solo captura; identificación incompleta</x:v>
      </x:c>
      <x:c r="H21" s="18" t="str"/>
      <x:c r="I21" s="18" t="str"/>
      <x:c r="J21" s="15" t="str">
        <x:v>Aparece como hermano de Clemente.</x:v>
      </x:c>
      <x:c r="K21" s="15" t="str">
        <x:v>Archivo parroquial de San Cristóbal / AHDO</x:v>
      </x:c>
      <x:c r="L21" s="12"/>
      <x:c r="M21" s="12"/>
      <x:c r="N21" s="12" t="str">
        <x:v>ORIGINAL DEL ÁRBOL</x:v>
      </x:c>
    </x:row>
    <x:row r="22">
      <x:c r="A22" s="15" t="n">
        <x:v>21</x:v>
      </x:c>
      <x:c r="B22" s="15" t="str">
        <x:v>Lorenzo Martínez Estébanez</x:v>
      </x:c>
      <x:c r="C22" s="15" t="str"/>
      <x:c r="D22" s="15" t="str"/>
      <x:c r="E22" s="15" t="str"/>
      <x:c r="F22" s="15" t="str"/>
      <x:c r="G22" s="15" t="str">
        <x:v>Solo captura; identificación incompleta</x:v>
      </x:c>
      <x:c r="H22" s="18" t="str"/>
      <x:c r="I22" s="18" t="str"/>
      <x:c r="J22" s="15" t="str">
        <x:v>Aparece como hermano de Clemente.</x:v>
      </x:c>
      <x:c r="K22" s="15" t="str">
        <x:v>Archivo parroquial de San Cristóbal / AHDO</x:v>
      </x:c>
      <x:c r="L22" s="12"/>
      <x:c r="M22" s="12"/>
      <x:c r="N22" s="12" t="str">
        <x:v>ORIGINAL DEL ÁRBOL</x:v>
      </x:c>
    </x:row>
    <x:row r="23">
      <x:c r="A23" s="15" t="n">
        <x:v>22</x:v>
      </x:c>
      <x:c r="B23" s="15" t="str">
        <x:v>Juan Martínez Estébanez</x:v>
      </x:c>
      <x:c r="C23" s="15" t="str">
        <x:v>1864 (aprox.)</x:v>
      </x:c>
      <x:c r="D23" s="15" t="str"/>
      <x:c r="E23" s="15" t="str"/>
      <x:c r="F23" s="15" t="str"/>
      <x:c r="G23" s="15" t="str">
        <x:v>Solo captura; dato indirecto</x:v>
      </x:c>
      <x:c r="H23" s="18" t="str"/>
      <x:c r="I23" s="18" t="str"/>
      <x:c r="J23" s="15" t="str">
        <x:v>Nota: «57 años en 1921 (nació en 1864)» y posible hermano de Clemente.</x:v>
      </x:c>
      <x:c r="K23" s="15" t="str">
        <x:v>Archivo parroquial de San Cristóbal / padrones</x:v>
      </x:c>
      <x:c r="L23" s="12"/>
      <x:c r="M23" s="12"/>
      <x:c r="N23" s="12" t="str">
        <x:v>ORIGINAL DEL ÁRBOL</x:v>
      </x:c>
    </x:row>
    <x:row r="24">
      <x:c r="A24" s="15" t="n">
        <x:v>23</x:v>
      </x:c>
      <x:c r="B24" s="15" t="str">
        <x:v>Manuela Ruiz Gutiérrez</x:v>
      </x:c>
      <x:c r="C24" s="15" t="str">
        <x:v>1860</x:v>
      </x:c>
      <x:c r="D24" s="15" t="str">
        <x:v>San Cristóbal (vecina; no necesariamente nacida allí)</x:v>
      </x:c>
      <x:c r="E24" s="15" t="str">
        <x:v>09/12/1933</x:v>
      </x:c>
      <x:c r="F24" s="15" t="str"/>
      <x:c r="G24" s="15" t="str">
        <x:v>Solo captura; pendiente archivo</x:v>
      </x:c>
      <x:c r="H24" s="18" t="str"/>
      <x:c r="I24" s="18" t="str">
        <x:v>https://iglesiadeasturias.org/archivo-historico/</x:v>
      </x:c>
      <x:c r="J24" s="15" t="str">
        <x:v>La captura dice 73 años y anota que el 30/09/1927 constaba con 69 años. También señala un posible matrimonio con Gregorio Estébanez Mata.</x:v>
      </x:c>
      <x:c r="K24" s="15" t="str">
        <x:v>Registro Civil de Avilés + parroquia de San Cristóbal</x:v>
      </x:c>
      <x:c r="L24" s="12"/>
      <x:c r="M24" s="12"/>
      <x:c r="N24" s="12" t="str">
        <x:v>ORIGINAL DEL ÁRBOL</x:v>
      </x:c>
    </x:row>
    <x:row r="25">
      <x:c r="A25" s="15" t="n">
        <x:v>24</x:v>
      </x:c>
      <x:c r="B25" s="15" t="str">
        <x:v>Gil Martínez Brabo</x:v>
      </x:c>
      <x:c r="C25" s="15" t="str">
        <x:v>1830</x:v>
      </x:c>
      <x:c r="D25" s="15" t="str"/>
      <x:c r="E25" s="15" t="str">
        <x:v>1902</x:v>
      </x:c>
      <x:c r="F25" s="15" t="str"/>
      <x:c r="G25" s="15" t="str">
        <x:v>Solo captura; pendiente archivo</x:v>
      </x:c>
      <x:c r="H25" s="18" t="str"/>
      <x:c r="I25" s="18" t="str">
        <x:v>https://iglesiadeasturias.org/archivo-historico/</x:v>
      </x:c>
      <x:c r="J25" s="15" t="str">
        <x:v>La captura indica 72 años. Se conserva la grafía «Brabo».</x:v>
      </x:c>
      <x:c r="K25" s="15" t="str">
        <x:v>Archivo Histórico Diocesano de Oviedo</x:v>
      </x:c>
      <x:c r="L25" s="12"/>
      <x:c r="M25" s="12"/>
      <x:c r="N25" s="12" t="str">
        <x:v>ORIGINAL DEL ÁRBOL</x:v>
      </x:c>
    </x:row>
    <x:row r="26">
      <x:c r="A26" s="15" t="n">
        <x:v>25</x:v>
      </x:c>
      <x:c r="B26" s="15" t="str">
        <x:v>Gregoria Estébanez Mata</x:v>
      </x:c>
      <x:c r="C26" s="15" t="str"/>
      <x:c r="D26" s="15" t="str"/>
      <x:c r="E26" s="15" t="str">
        <x:v>1878</x:v>
      </x:c>
      <x:c r="F26" s="15" t="str"/>
      <x:c r="G26" s="15" t="str">
        <x:v>Solo captura; pendiente archivo</x:v>
      </x:c>
      <x:c r="H26" s="18" t="str"/>
      <x:c r="I26" s="18" t="str">
        <x:v>https://iglesiadeasturias.org/archivo-historico/</x:v>
      </x:c>
      <x:c r="J26" s="15" t="str">
        <x:v>Posible pareja/familiar dentro de la rama Estébanez-Mata; no hay fecha de nacimiento en la captura.</x:v>
      </x:c>
      <x:c r="K26" s="15" t="str">
        <x:v>Archivo Histórico Diocesano de Oviedo</x:v>
      </x:c>
      <x:c r="L26" s="12"/>
      <x:c r="M26" s="12"/>
      <x:c r="N26" s="12" t="str">
        <x:v>ORIGINAL DEL ÁRBOL</x:v>
      </x:c>
    </x:row>
    <x:row r="27">
      <x:c r="A27" s="15" t="n">
        <x:v>26</x:v>
      </x:c>
      <x:c r="B27" s="15" t="str">
        <x:v>Lucía Gutiérrez Estébanez</x:v>
      </x:c>
      <x:c r="C27" s="15" t="str"/>
      <x:c r="D27" s="15" t="str"/>
      <x:c r="E27" s="15" t="str"/>
      <x:c r="F27" s="15" t="str"/>
      <x:c r="G27" s="15" t="str">
        <x:v>Solo captura; pendiente archivo</x:v>
      </x:c>
      <x:c r="H27" s="18" t="str"/>
      <x:c r="I27" s="18" t="str">
        <x:v>https://iglesiadeasturias.org/archivo-historico/</x:v>
      </x:c>
      <x:c r="J27" s="15" t="str"/>
      <x:c r="K27" s="15" t="str">
        <x:v>Archivo Histórico Diocesano de Oviedo</x:v>
      </x:c>
      <x:c r="L27" s="12"/>
      <x:c r="M27" s="12"/>
      <x:c r="N27" s="12" t="str">
        <x:v>ORIGINAL DEL ÁRBOL</x:v>
      </x:c>
    </x:row>
    <x:row r="28">
      <x:c r="A28" s="15" t="n">
        <x:v>27</x:v>
      </x:c>
      <x:c r="B28" s="15" t="str">
        <x:v>María Brabo</x:v>
      </x:c>
      <x:c r="C28" s="15" t="str"/>
      <x:c r="D28" s="15" t="str"/>
      <x:c r="E28" s="15" t="str"/>
      <x:c r="F28" s="15" t="str"/>
      <x:c r="G28" s="15" t="str">
        <x:v>Solo captura; pendiente archivo</x:v>
      </x:c>
      <x:c r="H28" s="18" t="str"/>
      <x:c r="I28" s="18" t="str">
        <x:v>https://iglesiadeasturias.org/archivo-historico/</x:v>
      </x:c>
      <x:c r="J28" s="15" t="str"/>
      <x:c r="K28" s="15" t="str">
        <x:v>Archivo Histórico Diocesano de Oviedo</x:v>
      </x:c>
      <x:c r="L28" s="12"/>
      <x:c r="M28" s="12"/>
      <x:c r="N28" s="12" t="str">
        <x:v>ORIGINAL DEL ÁRBOL</x:v>
      </x:c>
    </x:row>
    <x:row r="29">
      <x:c r="A29" s="15" t="n">
        <x:v>28</x:v>
      </x:c>
      <x:c r="B29" s="15" t="str">
        <x:v>Juan Estébanez</x:v>
      </x:c>
      <x:c r="C29" s="15" t="str"/>
      <x:c r="D29" s="15" t="str"/>
      <x:c r="E29" s="15" t="str">
        <x:v>1847</x:v>
      </x:c>
      <x:c r="F29" s="15" t="str"/>
      <x:c r="G29" s="15" t="str">
        <x:v>Solo captura; pendiente archivo</x:v>
      </x:c>
      <x:c r="H29" s="18" t="str"/>
      <x:c r="I29" s="18" t="str">
        <x:v>https://iglesiadeasturias.org/archivo-historico/</x:v>
      </x:c>
      <x:c r="J29" s="15" t="str"/>
      <x:c r="K29" s="15" t="str">
        <x:v>Archivo Histórico Diocesano de Oviedo</x:v>
      </x:c>
      <x:c r="L29" s="12"/>
      <x:c r="M29" s="12"/>
      <x:c r="N29" s="12" t="str">
        <x:v>ORIGINAL DEL ÁRBOL</x:v>
      </x:c>
    </x:row>
    <x:row r="30">
      <x:c r="A30" s="15" t="n">
        <x:v>29</x:v>
      </x:c>
      <x:c r="B30" s="15" t="str">
        <x:v>Agustina Mata</x:v>
      </x:c>
      <x:c r="C30" s="15" t="str"/>
      <x:c r="D30" s="15" t="str"/>
      <x:c r="E30" s="15" t="str">
        <x:v>1852</x:v>
      </x:c>
      <x:c r="F30" s="15" t="str"/>
      <x:c r="G30" s="15" t="str">
        <x:v>Solo captura; pendiente archivo</x:v>
      </x:c>
      <x:c r="H30" s="18" t="str"/>
      <x:c r="I30" s="18" t="str">
        <x:v>https://iglesiadeasturias.org/archivo-historico/</x:v>
      </x:c>
      <x:c r="J30" s="15" t="str"/>
      <x:c r="K30" s="15" t="str">
        <x:v>Archivo Histórico Diocesano de Oviedo</x:v>
      </x:c>
      <x:c r="L30" s="12"/>
      <x:c r="M30" s="12"/>
      <x:c r="N30" s="12" t="str">
        <x:v>ORIGINAL DEL ÁRBOL</x:v>
      </x:c>
    </x:row>
    <x:row r="31">
      <x:c r="A31" s="15" t="n">
        <x:v>30</x:v>
      </x:c>
      <x:c r="B31" s="15" t="str">
        <x:v>Valentín Mata</x:v>
      </x:c>
      <x:c r="C31" s="15" t="str"/>
      <x:c r="D31" s="15" t="str"/>
      <x:c r="E31" s="15" t="str"/>
      <x:c r="F31" s="15" t="str"/>
      <x:c r="G31" s="15" t="str">
        <x:v>Solo captura; pendiente archivo</x:v>
      </x:c>
      <x:c r="H31" s="18" t="str"/>
      <x:c r="I31" s="18" t="str">
        <x:v>https://iglesiadeasturias.org/archivo-historico/</x:v>
      </x:c>
      <x:c r="J31" s="15" t="str"/>
      <x:c r="K31" s="15" t="str">
        <x:v>Archivo Histórico Diocesano de Oviedo</x:v>
      </x:c>
      <x:c r="L31" s="12"/>
      <x:c r="M31" s="12"/>
      <x:c r="N31" s="12" t="str">
        <x:v>ORIGINAL DEL ÁRBOL</x:v>
      </x:c>
    </x:row>
    <x:row r="32">
      <x:c r="A32" s="15" t="n">
        <x:v>31</x:v>
      </x:c>
      <x:c r="B32" s="15" t="str">
        <x:v>Lilia García García</x:v>
      </x:c>
      <x:c r="C32" s="15" t="str">
        <x:v>1904</x:v>
      </x:c>
      <x:c r="D32" s="15" t="str">
        <x:v>Avilés (según captura)</x:v>
      </x:c>
      <x:c r="E32" s="15" t="str">
        <x:v>27/03/2000</x:v>
      </x:c>
      <x:c r="F32" s="15" t="str"/>
      <x:c r="G32" s="15" t="str">
        <x:v>Solo captura; pendiente hemeroteca/registro</x:v>
      </x:c>
      <x:c r="H32" s="18" t="str"/>
      <x:c r="I32" s="18" t="str"/>
      <x:c r="J32" s="15" t="str">
        <x:v>La captura indica 96 años.</x:v>
      </x:c>
      <x:c r="K32" s="15" t="str">
        <x:v>Registro Civil de Avilés / hemeroteca de esquelas</x:v>
      </x:c>
      <x:c r="L32" s="12"/>
      <x:c r="M32" s="12"/>
      <x:c r="N32" s="12" t="str">
        <x:v>ORIGINAL DEL ÁRBOL</x:v>
      </x:c>
    </x:row>
    <x:row r="33">
      <x:c r="A33" s="15" t="n">
        <x:v>32</x:v>
      </x:c>
      <x:c r="B33" s="15" t="str">
        <x:v>Nicolás García</x:v>
      </x:c>
      <x:c r="C33" s="15" t="str"/>
      <x:c r="D33" s="15" t="str">
        <x:v>Becerril del Carpio (vecino; según captura)</x:v>
      </x:c>
      <x:c r="E33" s="15" t="str"/>
      <x:c r="F33" s="15" t="str"/>
      <x:c r="G33" s="15" t="str">
        <x:v>Solo captura; identificación insuficiente</x:v>
      </x:c>
      <x:c r="H33" s="18" t="str"/>
      <x:c r="I33" s="18" t="str">
        <x:v>https://censoarchivos.cultura.gob.es/CensoGuia/archivodetail.htm?id=57797</x:v>
      </x:c>
      <x:c r="J33" s="15" t="str">
        <x:v>La captura solo lo identifica como vecino de Becerril.</x:v>
      </x:c>
      <x:c r="K33" s="15" t="str">
        <x:v>Archivo Diocesano de Palencia, Santa María/San Pedro de Becerril del Carpio</x:v>
      </x:c>
      <x:c r="L33" s="12"/>
      <x:c r="M33" s="12"/>
      <x:c r="N33" s="12" t="str">
        <x:v>ORIGINAL DEL ÁRBOL</x:v>
      </x:c>
    </x:row>
    <x:row r="34">
      <x:c r="A34" s="15" t="n">
        <x:v>33</x:v>
      </x:c>
      <x:c r="B34" s="15" t="str">
        <x:v>Andrea García</x:v>
      </x:c>
      <x:c r="C34" s="15" t="str"/>
      <x:c r="D34" s="15" t="str">
        <x:v>Becerril del Carpio (vecina; según captura)</x:v>
      </x:c>
      <x:c r="E34" s="15" t="str"/>
      <x:c r="F34" s="15" t="str"/>
      <x:c r="G34" s="15" t="str">
        <x:v>Solo captura; identificación insuficiente</x:v>
      </x:c>
      <x:c r="H34" s="18" t="str"/>
      <x:c r="I34" s="18" t="str">
        <x:v>https://censoarchivos.cultura.gob.es/CensoGuia/archivodetail.htm?id=57797</x:v>
      </x:c>
      <x:c r="J34" s="15" t="str">
        <x:v>La captura solo la identifica como vecina de Becerril.</x:v>
      </x:c>
      <x:c r="K34" s="15" t="str">
        <x:v>Archivo Diocesano de Palencia</x:v>
      </x:c>
      <x:c r="L34" s="12"/>
      <x:c r="M34" s="12"/>
      <x:c r="N34" s="12" t="str">
        <x:v>ORIGINAL DEL ÁRBOL</x:v>
      </x:c>
    </x:row>
    <x:row r="35">
      <x:c r="A35" s="15" t="n">
        <x:v>34</x:v>
      </x:c>
      <x:c r="B35" s="15" t="str">
        <x:v>Manuel Pérez Martínez</x:v>
      </x:c>
      <x:c r="C35" s="15" t="str"/>
      <x:c r="D35" s="15" t="str"/>
      <x:c r="E35" s="15" t="str"/>
      <x:c r="F35" s="15" t="str"/>
      <x:c r="G35" s="15" t="str">
        <x:v>Solo captura; pendiente archivo</x:v>
      </x:c>
      <x:c r="H35" s="18" t="str"/>
      <x:c r="I35" s="18" t="str"/>
      <x:c r="J35" s="15" t="str"/>
      <x:c r="K35" s="15" t="str">
        <x:v>Parroquia/Registro Civil de la rama Navia-Talarén</x:v>
      </x:c>
      <x:c r="L35" s="12"/>
      <x:c r="M35" s="12"/>
      <x:c r="N35" s="12" t="str">
        <x:v>ORIGINAL DEL ÁRBOL</x:v>
      </x:c>
    </x:row>
    <x:row r="36">
      <x:c r="A36" s="15" t="n">
        <x:v>35</x:v>
      </x:c>
      <x:c r="B36" s="15" t="str">
        <x:v>Josefa González Fernández</x:v>
      </x:c>
      <x:c r="C36" s="15" t="str"/>
      <x:c r="D36" s="15" t="str"/>
      <x:c r="E36" s="15" t="str"/>
      <x:c r="F36" s="15" t="str"/>
      <x:c r="G36" s="15" t="str">
        <x:v>Solo captura; pendiente archivo</x:v>
      </x:c>
      <x:c r="H36" s="18" t="str"/>
      <x:c r="I36" s="18" t="str"/>
      <x:c r="J36" s="15" t="str"/>
      <x:c r="K36" s="15" t="str">
        <x:v>Parroquia/Registro Civil de la rama Navia-Talarén</x:v>
      </x:c>
      <x:c r="L36" s="12"/>
      <x:c r="M36" s="12"/>
      <x:c r="N36" s="12" t="str">
        <x:v>ORIGINAL DEL ÁRBOL</x:v>
      </x:c>
    </x:row>
    <x:row r="37">
      <x:c r="A37" s="15" t="n">
        <x:v>36</x:v>
      </x:c>
      <x:c r="B37" s="15" t="str">
        <x:v>Ramiro Pérez González</x:v>
      </x:c>
      <x:c r="C37" s="15" t="str">
        <x:v>08/07/1900</x:v>
      </x:c>
      <x:c r="D37" s="15" t="str">
        <x:v>Tox–Cabanella (Navia; según captura)</x:v>
      </x:c>
      <x:c r="E37" s="15" t="str">
        <x:v>09/05/1978</x:v>
      </x:c>
      <x:c r="F37" s="15" t="str"/>
      <x:c r="G37" s="15" t="str">
        <x:v>Solo captura; pendiente archivo</x:v>
      </x:c>
      <x:c r="H37" s="18" t="str"/>
      <x:c r="I37" s="18" t="str">
        <x:v>https://www.ayto-navia.es/parroquias</x:v>
      </x:c>
      <x:c r="J37" s="15" t="str">
        <x:v>La captura indica 77 años. Cabanella pertenece a la parroquia de Villanueva (Navia); Tox pertenece a Villapedre. Conviene fijar cuál es nacimiento y cuál residencia.</x:v>
      </x:c>
      <x:c r="K37" s="15" t="str">
        <x:v>Registro Civil de Navia + parroquias de San Antolín de Villanueva / Santiago de Villapedre</x:v>
      </x:c>
      <x:c r="L37" s="12"/>
      <x:c r="M37" s="12"/>
      <x:c r="N37" s="12" t="str">
        <x:v>ORIGINAL DEL ÁRBOL</x:v>
      </x:c>
    </x:row>
    <x:row r="38">
      <x:c r="A38" s="15" t="n">
        <x:v>37</x:v>
      </x:c>
      <x:c r="B38" s="15" t="str">
        <x:v>Edelmira Pérez Sánchez</x:v>
      </x:c>
      <x:c r="C38" s="15" t="str">
        <x:v>22/07/1934</x:v>
      </x:c>
      <x:c r="D38" s="15" t="str">
        <x:v>Talarén (Navia)</x:v>
      </x:c>
      <x:c r="E38" s="15" t="str">
        <x:v>15/09/2022</x:v>
      </x:c>
      <x:c r="F38" s="15" t="str">
        <x:v>Avilés (según captura)</x:v>
      </x:c>
      <x:c r="G38" s="15" t="str">
        <x:v>Parcial: relación familiar confirmada; fechas no halladas en fuente abierta</x:v>
      </x:c>
      <x:c r="H38" s="18" t="str">
        <x:v>https://esquelas.elcomercio.es/necrologicas/don-santiago-martinez-garcia-496757.html</x:v>
      </x:c>
      <x:c r="I38" s="18" t="str">
        <x:v>https://www.ayto-navia.es/parroquias</x:v>
      </x:c>
      <x:c r="J38" s="15" t="str">
        <x:v>La esquela de Santiago Martínez García (2024) confirma que Edelmira era su esposa y ya había fallecido. No he localizado una fuente abierta que confirme de forma independiente 22/07/1934–15/09/2022. Talarén pertenece a la parroquia de Villanueva (San Antolín).</x:v>
      </x:c>
      <x:c r="K38" s="15" t="str">
        <x:v>Registro Civil de Navia/Avilés + San Antolín de Villanueva</x:v>
      </x:c>
      <x:c r="L38" s="12"/>
      <x:c r="M38" s="12"/>
      <x:c r="N38" s="12" t="str">
        <x:v>ORIGINAL DEL ÁRBOL</x:v>
      </x:c>
    </x:row>
    <x:row r="39">
      <x:c r="A39" s="15" t="n">
        <x:v>38</x:v>
      </x:c>
      <x:c r="B39" s="15" t="str">
        <x:v>Caridad Sánchez González</x:v>
      </x:c>
      <x:c r="C39" s="15" t="str">
        <x:v>12/01/1907</x:v>
      </x:c>
      <x:c r="D39" s="15" t="str">
        <x:v>Talarén–Cabanella (Navia; según captura)</x:v>
      </x:c>
      <x:c r="E39" s="15" t="str">
        <x:v>24/07/1969</x:v>
      </x:c>
      <x:c r="F39" s="15" t="str"/>
      <x:c r="G39" s="15" t="str">
        <x:v>Solo captura; topónimos contrastados</x:v>
      </x:c>
      <x:c r="H39" s="18" t="str"/>
      <x:c r="I39" s="18" t="str">
        <x:v>https://www.ayto-navia.es/parroquias</x:v>
      </x:c>
      <x:c r="J39" s="15" t="str">
        <x:v>Talarén y Cabanella están en la parroquia de Villanueva (Navia), cuyo templo es San Antolín. El evento concreto no se ha confirmado online.</x:v>
      </x:c>
      <x:c r="K39" s="15" t="str">
        <x:v>Archivo Histórico Diocesano de Oviedo / San Antolín de Villanueva + Registro Civil</x:v>
      </x:c>
      <x:c r="L39" s="12"/>
      <x:c r="M39" s="12"/>
      <x:c r="N39" s="12" t="str">
        <x:v>ORIGINAL DEL ÁRBOL</x:v>
      </x:c>
    </x:row>
    <x:row r="40">
      <x:c r="A40" s="15" t="n">
        <x:v>39</x:v>
      </x:c>
      <x:c r="B40" s="15" t="str">
        <x:v>José Luis? Sánchez de Ron González</x:v>
      </x:c>
      <x:c r="C40" s="15" t="str"/>
      <x:c r="D40" s="15" t="str">
        <x:v>Meiro (Coaña)</x:v>
      </x:c>
      <x:c r="E40" s="15" t="str"/>
      <x:c r="F40" s="15" t="str"/>
      <x:c r="G40" s="15" t="str">
        <x:v>Solo captura; nombre dudoso; topónimo contrastado</x:v>
      </x:c>
      <x:c r="H40" s="18" t="str"/>
      <x:c r="I40" s="18" t="str">
        <x:v>https://mail.ayuntamientodecoana.com/en/index.php?M1=10&amp;M2=82</x:v>
      </x:c>
      <x:c r="J40" s="15" t="str">
        <x:v>Meiro pertenece a la parroquia de Folgueras (Coaña). El «José Luis?» de la captura lleva signo de interrogación.</x:v>
      </x:c>
      <x:c r="K40" s="15" t="str">
        <x:v>Parroquia de Santiago de Folgueras / Archivo Histórico Diocesano de Oviedo</x:v>
      </x:c>
      <x:c r="L40" s="12"/>
      <x:c r="M40" s="12"/>
      <x:c r="N40" s="12" t="str">
        <x:v>ORIGINAL DEL ÁRBOL</x:v>
      </x:c>
    </x:row>
    <x:row r="41">
      <x:c r="A41" s="15" t="n">
        <x:v>40</x:v>
      </x:c>
      <x:c r="B41" s="15" t="str">
        <x:v>Ramón Sánchez de Ron González (¿García?)</x:v>
      </x:c>
      <x:c r="C41" s="15" t="str">
        <x:v>23/02/1811</x:v>
      </x:c>
      <x:c r="D41" s="15" t="str">
        <x:v>Meiro (Coaña)</x:v>
      </x:c>
      <x:c r="E41" s="15" t="str">
        <x:v>21/07/1883</x:v>
      </x:c>
      <x:c r="F41" s="15" t="str"/>
      <x:c r="G41" s="15" t="str">
        <x:v>Solo captura; topónimo contrastado</x:v>
      </x:c>
      <x:c r="H41" s="18" t="str"/>
      <x:c r="I41" s="18" t="str">
        <x:v>https://mail.ayuntamientodecoana.com/en/index.php?M1=10&amp;M2=82</x:v>
      </x:c>
      <x:c r="J41" s="15" t="str">
        <x:v>La captura duda del segundo apellido («Glez. (García?)»). Meiro pertenece a Folgueras.</x:v>
      </x:c>
      <x:c r="K41" s="15" t="str">
        <x:v>Santiago de Folgueras + Registro Civil/archivo diocesano</x:v>
      </x:c>
      <x:c r="L41" s="12"/>
      <x:c r="M41" s="12"/>
      <x:c r="N41" s="12" t="str">
        <x:v>ORIGINAL DEL ÁRBOL</x:v>
      </x:c>
    </x:row>
    <x:row r="42">
      <x:c r="A42" s="15" t="n">
        <x:v>41</x:v>
      </x:c>
      <x:c r="B42" s="15" t="str">
        <x:v>Manuel José Antonio Sánchez de Ron Menéndez-Trelles</x:v>
      </x:c>
      <x:c r="C42" s="15" t="str">
        <x:v>01/01/1773</x:v>
      </x:c>
      <x:c r="D42" s="15" t="str">
        <x:v>Meiro (Coaña)</x:v>
      </x:c>
      <x:c r="E42" s="15" t="str">
        <x:v>21/07/1826</x:v>
      </x:c>
      <x:c r="F42" s="15" t="str"/>
      <x:c r="G42" s="15" t="str">
        <x:v>Solo captura; topónimo contrastado</x:v>
      </x:c>
      <x:c r="H42" s="18" t="str"/>
      <x:c r="I42" s="18" t="str">
        <x:v>https://mail.ayuntamientodecoana.com/en/index.php?M1=10&amp;M2=82</x:v>
      </x:c>
      <x:c r="J42" s="15" t="str">
        <x:v>Edad indicada: 53 años. No apareció una coincidencia nominal fiable en fuentes abiertas.</x:v>
      </x:c>
      <x:c r="K42" s="15" t="str">
        <x:v>Libros sacramentales de Santiago de Folgueras / AHDO</x:v>
      </x:c>
      <x:c r="L42" s="12"/>
      <x:c r="M42" s="12"/>
      <x:c r="N42" s="12" t="str">
        <x:v>ORIGINAL DEL ÁRBOL</x:v>
      </x:c>
    </x:row>
    <x:row r="43">
      <x:c r="A43" s="15" t="n">
        <x:v>42</x:v>
      </x:c>
      <x:c r="B43" s="15" t="str">
        <x:v>María Rosa González Gayo</x:v>
      </x:c>
      <x:c r="C43" s="15" t="str">
        <x:v>23/07/1819</x:v>
      </x:c>
      <x:c r="D43" s="15" t="str">
        <x:v>Meiro (¿Santiago-Valdés? según captura)</x:v>
      </x:c>
      <x:c r="E43" s="15" t="str">
        <x:v>19/03/1852</x:v>
      </x:c>
      <x:c r="F43" s="15" t="str"/>
      <x:c r="G43" s="15" t="str">
        <x:v>Solo captura; lugar conflictivo</x:v>
      </x:c>
      <x:c r="H43" s="18" t="str"/>
      <x:c r="I43" s="18" t="str">
        <x:v>https://mail.ayuntamientodecoana.com/en/index.php?M1=10&amp;M2=82</x:v>
      </x:c>
      <x:c r="J43" s="15" t="str">
        <x:v>La captura pone «Natural de Meiro (Santiago-Valdés)?». Meiro (Coaña) pertenece a Folgueras, cuyo templo parroquial está dedicado a Santiago; probablemente de ahí venga «Santiago», pero no se debe asumir sin partida.</x:v>
      </x:c>
      <x:c r="K43" s="15" t="str">
        <x:v>Santiago de Folgueras / AHDO</x:v>
      </x:c>
      <x:c r="L43" s="12"/>
      <x:c r="M43" s="12"/>
      <x:c r="N43" s="12" t="str">
        <x:v>ORIGINAL DEL ÁRBOL</x:v>
      </x:c>
    </x:row>
    <x:row r="44">
      <x:c r="A44" s="15" t="n">
        <x:v>43</x:v>
      </x:c>
      <x:c r="B44" s="15" t="str">
        <x:v>Juan González</x:v>
      </x:c>
      <x:c r="C44" s="15" t="str"/>
      <x:c r="D44" s="15" t="str"/>
      <x:c r="E44" s="15" t="str"/>
      <x:c r="F44" s="15" t="str"/>
      <x:c r="G44" s="15" t="str">
        <x:v>Solo captura; identificación insuficiente</x:v>
      </x:c>
      <x:c r="H44" s="18" t="str"/>
      <x:c r="I44" s="18" t="str"/>
      <x:c r="J44" s="15" t="str"/>
      <x:c r="K44" s="15" t="str">
        <x:v>Archivo parroquial según generación y localidad</x:v>
      </x:c>
      <x:c r="L44" s="12"/>
      <x:c r="M44" s="12"/>
      <x:c r="N44" s="12" t="str">
        <x:v>ORIGINAL DEL ÁRBOL</x:v>
      </x:c>
    </x:row>
    <x:row r="45">
      <x:c r="A45" s="15" t="n">
        <x:v>44</x:v>
      </x:c>
      <x:c r="B45" s="15" t="str">
        <x:v>Luisa González Suárez-Casadoira</x:v>
      </x:c>
      <x:c r="C45" s="15" t="str"/>
      <x:c r="D45" s="15" t="str"/>
      <x:c r="E45" s="15" t="str"/>
      <x:c r="F45" s="15" t="str"/>
      <x:c r="G45" s="15" t="str">
        <x:v>Solo captura; pendiente archivo</x:v>
      </x:c>
      <x:c r="H45" s="18" t="str"/>
      <x:c r="I45" s="18" t="str"/>
      <x:c r="J45" s="15" t="str"/>
      <x:c r="K45" s="15" t="str">
        <x:v>Archivo Histórico Diocesano de Oviedo</x:v>
      </x:c>
      <x:c r="L45" s="12"/>
      <x:c r="M45" s="12"/>
      <x:c r="N45" s="12" t="str">
        <x:v>ORIGINAL DEL ÁRBOL</x:v>
      </x:c>
    </x:row>
    <x:row r="46">
      <x:c r="A46" s="15" t="n">
        <x:v>45</x:v>
      </x:c>
      <x:c r="B46" s="15" t="str">
        <x:v>Teresa de Jesús Eugenia Suárez-Casadoira García</x:v>
      </x:c>
      <x:c r="C46" s="15" t="str"/>
      <x:c r="D46" s="15" t="str"/>
      <x:c r="E46" s="15" t="str"/>
      <x:c r="F46" s="15" t="str"/>
      <x:c r="G46" s="15" t="str">
        <x:v>Solo captura; pendiente archivo</x:v>
      </x:c>
      <x:c r="H46" s="18" t="str"/>
      <x:c r="I46" s="18" t="str"/>
      <x:c r="J46" s="15" t="str"/>
      <x:c r="K46" s="15" t="str">
        <x:v>Archivo Histórico Diocesano de Oviedo</x:v>
      </x:c>
      <x:c r="L46" s="12"/>
      <x:c r="M46" s="12"/>
      <x:c r="N46" s="12" t="str">
        <x:v>ORIGINAL DEL ÁRBOL</x:v>
      </x:c>
    </x:row>
    <x:row r="47">
      <x:c r="A47" s="15" t="n">
        <x:v>46</x:v>
      </x:c>
      <x:c r="B47" s="15" t="str">
        <x:v>Juan Suárez Casadoira</x:v>
      </x:c>
      <x:c r="C47" s="15" t="str"/>
      <x:c r="D47" s="15" t="str"/>
      <x:c r="E47" s="15" t="str"/>
      <x:c r="F47" s="15" t="str"/>
      <x:c r="G47" s="15" t="str">
        <x:v>Solo captura; pendiente archivo</x:v>
      </x:c>
      <x:c r="H47" s="18" t="str"/>
      <x:c r="I47" s="18" t="str"/>
      <x:c r="J47" s="15" t="str"/>
      <x:c r="K47" s="15" t="str">
        <x:v>Archivo Histórico Diocesano de Oviedo</x:v>
      </x:c>
      <x:c r="L47" s="12"/>
      <x:c r="M47" s="12"/>
      <x:c r="N47" s="12" t="str">
        <x:v>ORIGINAL DEL ÁRBOL</x:v>
      </x:c>
    </x:row>
    <x:row r="48">
      <x:c r="A48" s="15" t="n">
        <x:v>47</x:v>
      </x:c>
      <x:c r="B48" s="15" t="str">
        <x:v>Luisa García</x:v>
      </x:c>
      <x:c r="C48" s="15" t="str"/>
      <x:c r="D48" s="15" t="str"/>
      <x:c r="E48" s="15" t="str"/>
      <x:c r="F48" s="15" t="str"/>
      <x:c r="G48" s="15" t="str">
        <x:v>Solo captura; identificación insuficiente</x:v>
      </x:c>
      <x:c r="H48" s="18" t="str"/>
      <x:c r="I48" s="18" t="str"/>
      <x:c r="J48" s="15" t="str"/>
      <x:c r="K48" s="15" t="str">
        <x:v>Archivo Histórico Diocesano de Oviedo</x:v>
      </x:c>
      <x:c r="L48" s="12"/>
      <x:c r="M48" s="12"/>
      <x:c r="N48" s="12" t="str">
        <x:v>ORIGINAL DEL ÁRBOL</x:v>
      </x:c>
    </x:row>
    <x:row r="49">
      <x:c r="A49" s="15" t="n">
        <x:v>48</x:v>
      </x:c>
      <x:c r="B49" s="15" t="str">
        <x:v>José Francisco Sánchez de Ron Miranda Villamil Trelles y Cantoira</x:v>
      </x:c>
      <x:c r="C49" s="15" t="str">
        <x:v>29/07/1734</x:v>
      </x:c>
      <x:c r="D49" s="15" t="str"/>
      <x:c r="E49" s="15" t="str">
        <x:v>1773 y 1788 ? (anotación)</x:v>
      </x:c>
      <x:c r="F49" s="15" t="str"/>
      <x:c r="G49" s="15" t="str">
        <x:v>Solo captura; defunción no interpretable</x:v>
      </x:c>
      <x:c r="H49" s="18" t="str"/>
      <x:c r="I49" s="18" t="str">
        <x:v>https://idus.us.es/bitstreams/bb1c35d5-1b88-4013-8b51-8ff046ee7bf1/download</x:v>
      </x:c>
      <x:c r="J49" s="15" t="str">
        <x:v>La captura escribe «29/07/1734-(1773 y 1788)»; no es seguro que esas dos fechas sean defunciones. La fuente académica sobre la Casa de Ron aporta contexto del linaje, no confirma esta persona concreta.</x:v>
      </x:c>
      <x:c r="K49" s="15" t="str">
        <x:v>AHDO + protocolos/pleitos del occidente de Asturias</x:v>
      </x:c>
      <x:c r="L49" s="12"/>
      <x:c r="M49" s="12"/>
      <x:c r="N49" s="12" t="str">
        <x:v>ORIGINAL DEL ÁRBOL</x:v>
      </x:c>
    </x:row>
    <x:row r="50">
      <x:c r="A50" s="15" t="n">
        <x:v>49</x:v>
      </x:c>
      <x:c r="B50" s="15" t="str">
        <x:v>Rosa Méndez-Trelles y González-Trelles</x:v>
      </x:c>
      <x:c r="C50" s="15" t="str"/>
      <x:c r="D50" s="15" t="str"/>
      <x:c r="E50" s="15" t="str"/>
      <x:c r="F50" s="15" t="str"/>
      <x:c r="G50" s="15" t="str">
        <x:v>Solo captura; pendiente archivo</x:v>
      </x:c>
      <x:c r="H50" s="18" t="str"/>
      <x:c r="I50" s="18" t="str">
        <x:v>https://dialnet.unirioja.es/descarga/articulo/3016531.pdf</x:v>
      </x:c>
      <x:c r="J50" s="15" t="str">
        <x:v>El artículo de Dialnet documenta extensamente estirpes Trelles en Coaña/Villacondide, pero no he hallado una mención inequívoca a esta persona en los resultados indexados.</x:v>
      </x:c>
      <x:c r="K50" s="15" t="str">
        <x:v>Parroquias de Villacondide/Trelles/Folgueras + AHDO</x:v>
      </x:c>
      <x:c r="L50" s="12"/>
      <x:c r="M50" s="12"/>
      <x:c r="N50" s="12" t="str">
        <x:v>ORIGINAL DEL ÁRBOL</x:v>
      </x:c>
    </x:row>
    <x:row r="51">
      <x:c r="A51" s="15" t="n">
        <x:v>50</x:v>
      </x:c>
      <x:c r="B51" s="15" t="str">
        <x:v>Diego Antonio Sánchez-Ron</x:v>
      </x:c>
      <x:c r="C51" s="15" t="str">
        <x:v>31/12/1702</x:v>
      </x:c>
      <x:c r="D51" s="15" t="str"/>
      <x:c r="E51" s="15" t="str"/>
      <x:c r="F51" s="15" t="str"/>
      <x:c r="G51" s="15" t="str">
        <x:v>Solo captura; pendiente archivo</x:v>
      </x:c>
      <x:c r="H51" s="18" t="str"/>
      <x:c r="I51" s="18" t="str">
        <x:v>https://idus.us.es/bitstreams/bb1c35d5-1b88-4013-8b51-8ff046ee7bf1/download</x:v>
      </x:c>
      <x:c r="J51" s="15" t="str">
        <x:v>No se ha asociado con seguridad a un registro concreto.</x:v>
      </x:c>
      <x:c r="K51" s="15" t="str">
        <x:v>AHDO / PARES / parroquias de Coaña</x:v>
      </x:c>
      <x:c r="L51" s="12"/>
      <x:c r="M51" s="12"/>
      <x:c r="N51" s="12" t="str">
        <x:v>ORIGINAL DEL ÁRBOL</x:v>
      </x:c>
    </x:row>
    <x:row r="52">
      <x:c r="A52" s="15" t="n">
        <x:v>51</x:v>
      </x:c>
      <x:c r="B52" s="15" t="str">
        <x:v>Felipa Díaz Casariego</x:v>
      </x:c>
      <x:c r="C52" s="15" t="str"/>
      <x:c r="D52" s="15" t="str"/>
      <x:c r="E52" s="15" t="str"/>
      <x:c r="F52" s="15" t="str"/>
      <x:c r="G52" s="15" t="str">
        <x:v>Solo captura; pendiente archivo</x:v>
      </x:c>
      <x:c r="H52" s="18" t="str"/>
      <x:c r="I52" s="18" t="str"/>
      <x:c r="J52" s="15" t="str"/>
      <x:c r="K52" s="15" t="str">
        <x:v>AHDO / parroquias de Coaña</x:v>
      </x:c>
      <x:c r="L52" s="12"/>
      <x:c r="M52" s="12"/>
      <x:c r="N52" s="12" t="str">
        <x:v>ORIGINAL DEL ÁRBOL</x:v>
      </x:c>
    </x:row>
    <x:row r="53">
      <x:c r="A53" s="15" t="n">
        <x:v>52</x:v>
      </x:c>
      <x:c r="B53" s="15" t="str">
        <x:v>Pelayo Antonio Méndez Trelles y Morán</x:v>
      </x:c>
      <x:c r="C53" s="15" t="str"/>
      <x:c r="D53" s="15" t="str"/>
      <x:c r="E53" s="15" t="str"/>
      <x:c r="F53" s="15" t="str"/>
      <x:c r="G53" s="46" t="str">
        <x:v>Nombre documentado; homónimos/generaciones por separar</x:v>
      </x:c>
      <x:c r="H53" s="47" t="str">
        <x:v>https://archivosdeasturias.info/feaa/action/detalle?buttons%5B4%5D=loadDetailSerie&amp;idCuadro=1198&amp;idTipo=35812</x:v>
      </x:c>
      <x:c r="I53" s="47" t="str">
        <x:v>https://dialnet.unirioja.es/descarga/articulo/3016531.pdf</x:v>
      </x:c>
      <x:c r="J53" s="46" t="str">
        <x:v>2ª pasada: aparecen varias referencias a Pelayo Méndez/Pelayo Antonio Méndez Trelles. Una fuente académica documenta a Don Pelayo Méndez Trelles como patrono en 1768; el padrón de Villacondide de 1780 cita expresamente a «don Pelayo Antonio Méndez Trelles, menor»; y el Archivo Histórico de Asturias conserva cuentas de la Obra Pía de Villacondide de 1811-1829 rendidas por Pelayo Antonio Méndez Trelles, patrono y administrador, además de cuentas 1829-1838 presentadas en 1839-1840. Esto demuestra el nombre en la zona, pero también hace muy probable que haya dos generaciones homónimas; no asigno aún nacimiento/defunción a la persona del árbol.</x:v>
      </x:c>
      <x:c r="K53" s="15" t="str">
        <x:v>San Cosme de Villacondide + expedientes de patronato citados por la tesis</x:v>
      </x:c>
      <x:c r="L53" s="12"/>
      <x:c r="M53" s="12"/>
      <x:c r="N53" s="12" t="str">
        <x:v>ORIGINAL DEL ÁRBOL</x:v>
      </x:c>
    </x:row>
    <x:row r="54">
      <x:c r="A54" s="15" t="n">
        <x:v>53</x:v>
      </x:c>
      <x:c r="B54" s="15" t="str">
        <x:v>María Rosa González-Trelles</x:v>
      </x:c>
      <x:c r="C54" s="15" t="str"/>
      <x:c r="D54" s="15" t="str"/>
      <x:c r="E54" s="15" t="str"/>
      <x:c r="F54" s="15" t="str"/>
      <x:c r="G54" s="15" t="str">
        <x:v>Solo captura; pendiente archivo</x:v>
      </x:c>
      <x:c r="H54" s="18" t="str"/>
      <x:c r="I54" s="18" t="str">
        <x:v>https://dialnet.unirioja.es/descarga/articulo/3016531.pdf</x:v>
      </x:c>
      <x:c r="J54" s="15" t="str">
        <x:v>Contexto del linaje Trelles, sin coincidencia inequívoca en los resultados indexados.</x:v>
      </x:c>
      <x:c r="K54" s="15" t="str">
        <x:v>Parroquias de Coaña / AHDO</x:v>
      </x:c>
      <x:c r="L54" s="12"/>
      <x:c r="M54" s="12"/>
      <x:c r="N54" s="12" t="str">
        <x:v>ORIGINAL DEL ÁRBOL</x:v>
      </x:c>
    </x:row>
    <x:row r="55">
      <x:c r="A55" s="15" t="n">
        <x:v>54</x:v>
      </x:c>
      <x:c r="B55" s="15" t="str">
        <x:v>Diego Sánchez de Ron Miranda Villamil Trelles y Cantoira</x:v>
      </x:c>
      <x:c r="C55" s="15" t="str">
        <x:v>11/12/1674</x:v>
      </x:c>
      <x:c r="D55" s="15" t="str"/>
      <x:c r="E55" s="15" t="str"/>
      <x:c r="F55" s="15" t="str"/>
      <x:c r="G55" s="15" t="str">
        <x:v>Solo captura; pendiente archivo</x:v>
      </x:c>
      <x:c r="H55" s="18" t="str"/>
      <x:c r="I55" s="18" t="str">
        <x:v>https://idus.us.es/bitstreams/bb1c35d5-1b88-4013-8b51-8ff046ee7bf1/download</x:v>
      </x:c>
      <x:c r="J55" s="15" t="str">
        <x:v>La monografía sobre la Casa de Ron confirma el linaje Ron/Miranda en siglos anteriores, pero no esta identidad concreta.</x:v>
      </x:c>
      <x:c r="K55" s="15" t="str">
        <x:v>AHDO / PARES / parroquias de Coaña</x:v>
      </x:c>
      <x:c r="L55" s="12"/>
      <x:c r="M55" s="12"/>
      <x:c r="N55" s="12" t="str">
        <x:v>ORIGINAL DEL ÁRBOL</x:v>
      </x:c>
    </x:row>
    <x:row r="56">
      <x:c r="A56" s="15" t="n">
        <x:v>55</x:v>
      </x:c>
      <x:c r="B56" s="15" t="str">
        <x:v>Ana Méndez-Infanzón Trelles</x:v>
      </x:c>
      <x:c r="C56" s="15" t="str"/>
      <x:c r="D56" s="15" t="str"/>
      <x:c r="E56" s="15" t="str"/>
      <x:c r="F56" s="15" t="str"/>
      <x:c r="G56" s="15" t="str">
        <x:v>Solo captura; pendiente archivo</x:v>
      </x:c>
      <x:c r="H56" s="18" t="str"/>
      <x:c r="I56" s="18" t="str">
        <x:v>https://dialnet.unirioja.es/descarga/articulo/3016531.pdf</x:v>
      </x:c>
      <x:c r="J56" s="15" t="str">
        <x:v>El trabajo genealógico de la Casa Trelles usa libros parroquiales de Villacondide y líneas Infanzón/Trelles, pero no hay coincidencia inequívoca en el resultado indexado.</x:v>
      </x:c>
      <x:c r="K56" s="15" t="str">
        <x:v>Villacondide/Trelles/Villanueva + AHDO</x:v>
      </x:c>
      <x:c r="L56" s="12"/>
      <x:c r="M56" s="12"/>
      <x:c r="N56" s="12" t="str">
        <x:v>ORIGINAL DEL ÁRBOL</x:v>
      </x:c>
    </x:row>
    <x:row r="57">
      <x:c r="A57" s="15" t="n">
        <x:v>56</x:v>
      </x:c>
      <x:c r="B57" s="15" t="str">
        <x:v>Salvador Sánchez de Ron y Rodil</x:v>
      </x:c>
      <x:c r="C57" s="15" t="str"/>
      <x:c r="D57" s="15" t="str"/>
      <x:c r="E57" s="15" t="str"/>
      <x:c r="F57" s="15" t="str"/>
      <x:c r="G57" s="15" t="str">
        <x:v>Solo captura; nombre dudoso</x:v>
      </x:c>
      <x:c r="H57" s="18" t="str"/>
      <x:c r="I57" s="18" t="str">
        <x:v>https://idus.us.es/bitstreams/bb1c35d5-1b88-4013-8b51-8ff046ee7bf1/download</x:v>
      </x:c>
      <x:c r="J57" s="15" t="str">
        <x:v>La captura añade «?». No se localizó coincidencia nominal fiable.</x:v>
      </x:c>
      <x:c r="K57" s="15" t="str">
        <x:v>AHDO / PARES</x:v>
      </x:c>
      <x:c r="L57" s="12"/>
      <x:c r="M57" s="12"/>
      <x:c r="N57" s="12" t="str">
        <x:v>ORIGINAL DEL ÁRBOL</x:v>
      </x:c>
    </x:row>
    <x:row r="58">
      <x:c r="A58" s="15" t="n">
        <x:v>57</x:v>
      </x:c>
      <x:c r="B58" s="15" t="str">
        <x:v>Dominga Díaz Lantoira Villamil</x:v>
      </x:c>
      <x:c r="C58" s="15" t="str"/>
      <x:c r="D58" s="15" t="str"/>
      <x:c r="E58" s="15" t="str">
        <x:v>antes de 1722</x:v>
      </x:c>
      <x:c r="F58" s="15" t="str"/>
      <x:c r="G58" s="15" t="str">
        <x:v>Solo captura; pendiente archivo</x:v>
      </x:c>
      <x:c r="H58" s="18" t="str"/>
      <x:c r="I58" s="18" t="str">
        <x:v>https://digibuo.uniovi.es/dspace/bitstream/10651/13044/1/TDRamonaPerezCastroPerezpdf.pdf</x:v>
      </x:c>
      <x:c r="J58" s="15" t="str">
        <x:v>Solo consta en la captura que murió antes de 1722. Los apellidos Lantoira/Villamil aparecen en documentación genealógica regional, pero no se ha demostrado esta identidad concreta.</x:v>
      </x:c>
      <x:c r="K58" s="15" t="str">
        <x:v>AHDO / protocolos notariales / parroquias de Coaña-Castropol</x:v>
      </x:c>
      <x:c r="L58" s="12"/>
      <x:c r="M58" s="12"/>
      <x:c r="N58" s="12" t="str">
        <x:v>ORIGINAL DEL ÁRBOL</x:v>
      </x:c>
    </x:row>
    <x:row r="59">
      <x:c r="A59" s="15" t="n">
        <x:v>58</x:v>
      </x:c>
      <x:c r="B59" s="15" t="str">
        <x:v>Alonso García-Infanzón Fernández</x:v>
      </x:c>
      <x:c r="C59" s="15" t="str"/>
      <x:c r="D59" s="15" t="str"/>
      <x:c r="E59" s="15" t="str"/>
      <x:c r="F59" s="15" t="str"/>
      <x:c r="G59" s="46" t="str">
        <x:v>Posible identificación reforzada por archivo oficial; vínculo aún no cerrado</x:v>
      </x:c>
      <x:c r="H59" s="47" t="str">
        <x:v>https://archivosdeasturias.info/feaa/action/detalle?buttons%5B4%5D=loadDetailSerie&amp;idCuadro=1198&amp;idTipo=35861</x:v>
      </x:c>
      <x:c r="I59" s="47" t="str">
        <x:v>https://digibuo.uniovi.es/dspace/bitstream/10651/13044/1/TDRamonaPerezCastroPerezpdf.pdf</x:v>
      </x:c>
      <x:c r="J59" s="46" t="str">
        <x:v>2ª pasada: el Archivo Histórico de Asturias conserva el expediente 23.542/11, «Información de filiación y parentesco de Leonor Suárez Trelles y Villamil», fechado 1671/1696. La tesis de la Universidad de Oviedo indica que en 1671 Alonso García Infanzón solicitó la dote en nombre de Leonor Suárez Trelles y Villamil, su mujer. Esto encaja con un Alonso García Infanzón de la rama occidental asturiana, pero no basta para asegurar que sea exactamente el «Alonso García-Infanzón Fdez.?» de la captura.</x:v>
      </x:c>
      <x:c r="K59" s="15" t="str">
        <x:v>PARES: probanza 1627 + libros parroquiales de Coaña</x:v>
      </x:c>
      <x:c r="L59" s="12"/>
      <x:c r="M59" s="12"/>
      <x:c r="N59" s="12" t="str">
        <x:v>ORIGINAL DEL ÁRBOL</x:v>
      </x:c>
    </x:row>
    <x:row r="60">
      <x:c r="A60" s="15" t="n">
        <x:v>59</x:v>
      </x:c>
      <x:c r="B60" s="15" t="str">
        <x:v>Antonia López de Folgueras</x:v>
      </x:c>
      <x:c r="C60" s="15" t="str"/>
      <x:c r="D60" s="15" t="str"/>
      <x:c r="E60" s="15" t="str"/>
      <x:c r="F60" s="15" t="str"/>
      <x:c r="G60" s="15" t="str">
        <x:v>Solo captura; nombre dudoso</x:v>
      </x:c>
      <x:c r="H60" s="18" t="str"/>
      <x:c r="I60" s="18" t="str"/>
      <x:c r="J60" s="15" t="str">
        <x:v>La captura añade «?».</x:v>
      </x:c>
      <x:c r="K60" s="15" t="str">
        <x:v>Santiago de Folgueras / AHDO</x:v>
      </x:c>
      <x:c r="L60" s="12"/>
      <x:c r="M60" s="12"/>
      <x:c r="N60" s="12" t="str">
        <x:v>ORIGINAL DEL ÁRBOL</x:v>
      </x:c>
    </x:row>
    <x:row r="61">
      <x:c r="A61" s="15" t="n">
        <x:v>60</x:v>
      </x:c>
      <x:c r="B61" s="15" t="str">
        <x:v>Juana González Fernández</x:v>
      </x:c>
      <x:c r="C61" s="15" t="str">
        <x:v>14/03/1771</x:v>
      </x:c>
      <x:c r="D61" s="15" t="str">
        <x:v>Armental (Navia)</x:v>
      </x:c>
      <x:c r="E61" s="15" t="str">
        <x:v>04/05/1827</x:v>
      </x:c>
      <x:c r="F61" s="15" t="str"/>
      <x:c r="G61" s="15" t="str">
        <x:v>Solo captura; topónimo contrastado</x:v>
      </x:c>
      <x:c r="H61" s="18" t="str"/>
      <x:c r="I61" s="18" t="str">
        <x:v>https://www.ayto-navia.es/parroquias</x:v>
      </x:c>
      <x:c r="J61" s="15" t="str">
        <x:v>Armental pertenece a la parroquia de Villanueva (Navia), dedicada a San Antolín. El evento concreto no aparece confirmado en fuente abierta.</x:v>
      </x:c>
      <x:c r="K61" s="15" t="str">
        <x:v>San Antolín de Villanueva / AHDO</x:v>
      </x:c>
      <x:c r="L61" s="12"/>
      <x:c r="M61" s="12"/>
      <x:c r="N61" s="12" t="str">
        <x:v>ORIGINAL DEL ÁRBOL</x:v>
      </x:c>
    </x:row>
    <x:row r="62">
      <x:c r="A62" s="15" t="n">
        <x:v>61</x:v>
      </x:c>
      <x:c r="B62" s="15" t="str">
        <x:v>José Antonio González Fernández</x:v>
      </x:c>
      <x:c r="C62" s="15" t="str">
        <x:v>02/1743 (día desconocido)</x:v>
      </x:c>
      <x:c r="D62" s="15" t="str">
        <x:v>Armental (Navia)</x:v>
      </x:c>
      <x:c r="E62" s="15" t="str"/>
      <x:c r="F62" s="15" t="str"/>
      <x:c r="G62" s="15" t="str">
        <x:v>Solo captura; topónimo contrastado</x:v>
      </x:c>
      <x:c r="H62" s="18" t="str"/>
      <x:c r="I62" s="18" t="str">
        <x:v>https://www.ayto-navia.es/parroquias</x:v>
      </x:c>
      <x:c r="J62" s="15" t="str">
        <x:v>No confundir con homónimos modernos; no se ha hallado coincidencia fiable.</x:v>
      </x:c>
      <x:c r="K62" s="15" t="str">
        <x:v>San Antolín de Villanueva / AHDO</x:v>
      </x:c>
      <x:c r="L62" s="12"/>
      <x:c r="M62" s="12"/>
      <x:c r="N62" s="12" t="str">
        <x:v>ORIGINAL DEL ÁRBOL</x:v>
      </x:c>
    </x:row>
    <x:row r="63">
      <x:c r="A63" s="15" t="n">
        <x:v>62</x:v>
      </x:c>
      <x:c r="B63" s="15" t="str">
        <x:v>Ana María Fernández Fernández</x:v>
      </x:c>
      <x:c r="C63" s="15" t="str">
        <x:v>1745</x:v>
      </x:c>
      <x:c r="D63" s="15" t="str">
        <x:v>Armental (Villanueva, Navia)</x:v>
      </x:c>
      <x:c r="E63" s="15" t="str"/>
      <x:c r="F63" s="15" t="str"/>
      <x:c r="G63" s="15" t="str">
        <x:v>Solo captura; topónimo contrastado</x:v>
      </x:c>
      <x:c r="H63" s="18" t="str"/>
      <x:c r="I63" s="18" t="str">
        <x:v>https://www.ayto-navia.es/parroquias</x:v>
      </x:c>
      <x:c r="J63" s="15" t="str">
        <x:v>La captura no da día/mes. Armental está en Villanueva.</x:v>
      </x:c>
      <x:c r="K63" s="15" t="str">
        <x:v>San Antolín de Villanueva / AHDO</x:v>
      </x:c>
      <x:c r="L63" s="12"/>
      <x:c r="M63" s="12"/>
      <x:c r="N63" s="12" t="str">
        <x:v>ORIGINAL DEL ÁRBOL</x:v>
      </x:c>
    </x:row>
    <x:row r="64">
      <x:c r="A64" s="15" t="n">
        <x:v>63</x:v>
      </x:c>
      <x:c r="B64" s="15" t="str">
        <x:v>José Antonio González Fernández</x:v>
      </x:c>
      <x:c r="C64" s="15" t="str">
        <x:v>28/11/1728</x:v>
      </x:c>
      <x:c r="D64" s="15" t="str">
        <x:v>Armental (Navia)</x:v>
      </x:c>
      <x:c r="E64" s="15" t="str">
        <x:v>1777 (día/mes desconocidos)</x:v>
      </x:c>
      <x:c r="F64" s="15" t="str"/>
      <x:c r="G64" s="15" t="str">
        <x:v>Solo captura; topónimo contrastado</x:v>
      </x:c>
      <x:c r="H64" s="18" t="str"/>
      <x:c r="I64" s="18" t="str">
        <x:v>https://www.ayto-navia.es/parroquias</x:v>
      </x:c>
      <x:c r="J64" s="15" t="str">
        <x:v>Segundo homónimo del árbol; debe mantenerse separado del nacido en 1743.</x:v>
      </x:c>
      <x:c r="K64" s="15" t="str">
        <x:v>San Antolín de Villanueva / AHDO</x:v>
      </x:c>
      <x:c r="L64" s="12"/>
      <x:c r="M64" s="12"/>
      <x:c r="N64" s="12" t="str">
        <x:v>ORIGINAL DEL ÁRBOL</x:v>
      </x:c>
    </x:row>
    <x:row r="65">
      <x:c r="A65" s="15" t="n">
        <x:v>64</x:v>
      </x:c>
      <x:c r="B65" s="15" t="str">
        <x:v>Bernarda Fernández</x:v>
      </x:c>
      <x:c r="C65" s="15" t="str"/>
      <x:c r="D65" s="15" t="str"/>
      <x:c r="E65" s="15" t="str"/>
      <x:c r="F65" s="15" t="str"/>
      <x:c r="G65" s="15" t="str">
        <x:v>Solo captura; identificación insuficiente</x:v>
      </x:c>
      <x:c r="H65" s="18" t="str"/>
      <x:c r="I65" s="18" t="str"/>
      <x:c r="J65" s="15" t="str"/>
      <x:c r="K65" s="15" t="str">
        <x:v>San Antolín de Villanueva / AHDO</x:v>
      </x:c>
      <x:c r="L65" s="12"/>
      <x:c r="M65" s="12"/>
      <x:c r="N65" s="12" t="str">
        <x:v>ORIGINAL DEL ÁRBOL</x:v>
      </x:c>
    </x:row>
    <x:row r="66">
      <x:c r="A66" s="15" t="n">
        <x:v>65</x:v>
      </x:c>
      <x:c r="B66" s="15" t="str">
        <x:v>Juan Fernández Pico</x:v>
      </x:c>
      <x:c r="C66" s="15" t="str">
        <x:v>1720 ?</x:v>
      </x:c>
      <x:c r="D66" s="15" t="str"/>
      <x:c r="E66" s="15" t="str"/>
      <x:c r="F66" s="15" t="str"/>
      <x:c r="G66" s="15" t="str">
        <x:v>Solo captura; fecha dudosa</x:v>
      </x:c>
      <x:c r="H66" s="18" t="str"/>
      <x:c r="I66" s="18" t="str"/>
      <x:c r="J66" s="15" t="str">
        <x:v>La captura pone «1720?».</x:v>
      </x:c>
      <x:c r="K66" s="15" t="str">
        <x:v>San Antolín de Villanueva / AHDO</x:v>
      </x:c>
      <x:c r="L66" s="12"/>
      <x:c r="M66" s="12"/>
      <x:c r="N66" s="12" t="str">
        <x:v>ORIGINAL DEL ÁRBOL</x:v>
      </x:c>
    </x:row>
    <x:row r="67">
      <x:c r="A67" s="15" t="n">
        <x:v>66</x:v>
      </x:c>
      <x:c r="B67" s="15" t="str">
        <x:v>María Fernández</x:v>
      </x:c>
      <x:c r="C67" s="15" t="str">
        <x:v>1720 ?</x:v>
      </x:c>
      <x:c r="D67" s="15" t="str"/>
      <x:c r="E67" s="15" t="str"/>
      <x:c r="F67" s="15" t="str"/>
      <x:c r="G67" s="15" t="str">
        <x:v>Solo captura; fecha dudosa</x:v>
      </x:c>
      <x:c r="H67" s="18" t="str"/>
      <x:c r="I67" s="18" t="str"/>
      <x:c r="J67" s="15" t="str">
        <x:v>La captura pone «1720?».</x:v>
      </x:c>
      <x:c r="K67" s="15" t="str">
        <x:v>San Antolín de Villanueva / AHDO</x:v>
      </x:c>
      <x:c r="L67" s="12"/>
      <x:c r="M67" s="12"/>
      <x:c r="N67" s="12" t="str">
        <x:v>ORIGINAL DEL ÁRBOL</x:v>
      </x:c>
    </x:row>
    <x:row r="68">
      <x:c r="A68" s="15" t="n">
        <x:v>67</x:v>
      </x:c>
      <x:c r="B68" s="15" t="str">
        <x:v>Domingo González García</x:v>
      </x:c>
      <x:c r="C68" s="15" t="str"/>
      <x:c r="D68" s="15" t="str"/>
      <x:c r="E68" s="15" t="str">
        <x:v>1761</x:v>
      </x:c>
      <x:c r="F68" s="15" t="str"/>
      <x:c r="G68" s="15" t="str">
        <x:v>Solo captura; pendiente archivo</x:v>
      </x:c>
      <x:c r="H68" s="18" t="str"/>
      <x:c r="I68" s="18" t="str">
        <x:v>https://www.ayto-navia.es/parroquias</x:v>
      </x:c>
      <x:c r="J68" s="15" t="str">
        <x:v>No se ha encontrado coincidencia inequívoca; los resultados web por el nombre corresponden a homónimos modernos.</x:v>
      </x:c>
      <x:c r="K68" s="15" t="str">
        <x:v>San Antolín de Villanueva / AHDO</x:v>
      </x:c>
      <x:c r="L68" s="12"/>
      <x:c r="M68" s="12"/>
      <x:c r="N68" s="12" t="str">
        <x:v>ORIGINAL DEL ÁRBOL</x:v>
      </x:c>
    </x:row>
    <x:row r="69">
      <x:c r="A69" s="15" t="n">
        <x:v>68</x:v>
      </x:c>
      <x:c r="B69" s="15" t="str">
        <x:v>Isabel Fernández-Chambergo Fernández</x:v>
      </x:c>
      <x:c r="C69" s="15" t="str"/>
      <x:c r="D69" s="15" t="str">
        <x:v>Armental (Navia)</x:v>
      </x:c>
      <x:c r="E69" s="15" t="str">
        <x:v>1761 ?</x:v>
      </x:c>
      <x:c r="F69" s="15" t="str"/>
      <x:c r="G69" s="15" t="str">
        <x:v>Solo captura; dato ambiguo</x:v>
      </x:c>
      <x:c r="H69" s="18" t="str"/>
      <x:c r="I69" s="18" t="str">
        <x:v>https://www.ayto-navia.es/parroquias</x:v>
      </x:c>
      <x:c r="J69" s="15" t="str">
        <x:v>La captura muestra «(Armental 1761)» sin aclarar si 1761 es nacimiento, matrimonio, residencia o defunción.</x:v>
      </x:c>
      <x:c r="K69" s="15" t="str">
        <x:v>San Antolín de Villanueva / AHDO</x:v>
      </x:c>
      <x:c r="L69" s="12"/>
      <x:c r="M69" s="12"/>
      <x:c r="N69" s="12" t="str">
        <x:v>ORIGINAL DEL ÁRBOL</x:v>
      </x:c>
    </x:row>
    <x:row r="70">
      <x:c r="A70" s="15" t="n">
        <x:v>69</x:v>
      </x:c>
      <x:c r="B70" s="15" t="str">
        <x:v>Diego González de Oneta Méndez</x:v>
      </x:c>
      <x:c r="C70" s="15" t="str"/>
      <x:c r="D70" s="15" t="str"/>
      <x:c r="E70" s="15" t="str"/>
      <x:c r="F70" s="15" t="str"/>
      <x:c r="G70" s="15" t="str">
        <x:v>Solo captura; pendiente archivo</x:v>
      </x:c>
      <x:c r="H70" s="18" t="str"/>
      <x:c r="I70" s="18" t="str"/>
      <x:c r="J70" s="15" t="str"/>
      <x:c r="K70" s="15" t="str">
        <x:v>San Antolín de Villanueva / AHDO</x:v>
      </x:c>
      <x:c r="L70" s="12"/>
      <x:c r="M70" s="12"/>
      <x:c r="N70" s="12" t="str">
        <x:v>ORIGINAL DEL ÁRBOL</x:v>
      </x:c>
    </x:row>
    <x:row r="71">
      <x:c r="A71" s="15" t="n">
        <x:v>70</x:v>
      </x:c>
      <x:c r="B71" s="15" t="str">
        <x:v>Dominga García San Pelayo</x:v>
      </x:c>
      <x:c r="C71" s="15" t="str"/>
      <x:c r="D71" s="15" t="str"/>
      <x:c r="E71" s="15" t="str"/>
      <x:c r="F71" s="15" t="str"/>
      <x:c r="G71" s="15" t="str">
        <x:v>Solo captura; pendiente archivo</x:v>
      </x:c>
      <x:c r="H71" s="18" t="str"/>
      <x:c r="I71" s="18" t="str"/>
      <x:c r="J71" s="15" t="str"/>
      <x:c r="K71" s="15" t="str">
        <x:v>San Antolín de Villanueva / AHDO</x:v>
      </x:c>
      <x:c r="L71" s="12"/>
      <x:c r="M71" s="12"/>
      <x:c r="N71" s="12" t="str">
        <x:v>ORIGINAL DEL ÁRBOL</x:v>
      </x:c>
    </x:row>
    <x:row r="72">
      <x:c r="A72" s="15" t="n">
        <x:v>71</x:v>
      </x:c>
      <x:c r="B72" s="15" t="str">
        <x:v>Pedro Fernández-Chambergo</x:v>
      </x:c>
      <x:c r="C72" s="15" t="str"/>
      <x:c r="D72" s="15" t="str"/>
      <x:c r="E72" s="15" t="str"/>
      <x:c r="F72" s="15" t="str"/>
      <x:c r="G72" s="15" t="str">
        <x:v>Solo captura; pendiente archivo</x:v>
      </x:c>
      <x:c r="H72" s="18" t="str"/>
      <x:c r="I72" s="18" t="str"/>
      <x:c r="J72" s="15" t="str"/>
      <x:c r="K72" s="15" t="str">
        <x:v>San Antolín de Villanueva / AHDO</x:v>
      </x:c>
      <x:c r="L72" s="12"/>
      <x:c r="M72" s="12"/>
      <x:c r="N72" s="12" t="str">
        <x:v>ORIGINAL DEL ÁRBOL</x:v>
      </x:c>
    </x:row>
    <x:row r="73">
      <x:c r="A73" s="49" t="n">
        <x:v>72</x:v>
      </x:c>
      <x:c r="B73" s="49" t="str">
        <x:v>Diego Antonio Sánchez de Ron Méndez-Trelles</x:v>
      </x:c>
      <x:c r="C73" s="49" t="str">
        <x:v>20/10/1763</x:v>
      </x:c>
      <x:c r="D73" s="49" t="str">
        <x:v>Meiro, Coaña (Asturias)</x:v>
      </x:c>
      <x:c r="E73" s="49" t="str"/>
      <x:c r="F73" s="49" t="str"/>
      <x:c r="G73" s="102" t="str">
        <x:v>13ª pasada: persona y matrimonio repetidos en árbol colaborativo; parentesco con el árbol principal aún sin cerrar</x:v>
      </x:c>
      <x:c r="H73" s="102" t="str">
        <x:v>https://es.geneanet.org/fonds/individus/?go=1&amp;nom=TRELLES&amp;page=3&amp;prenom=Antonio&amp;prenom_operateur=&amp;size=40&amp;with_variantes_nom=&amp;with_variantes_prenom=</x:v>
      </x:c>
      <x:c r="I73" s="102" t="str"/>
      <x:c r="J73" s="110" t="str">
        <x:v>15ª pasada: las búsquedas abiertas siguen devolviendo nacimiento 20/10/1763 en Meiro y esposa Rosa María González Fernández, pero no los padres. No he encontrado una segunda fuente independiente con filiación. La partida parroquial de Santiago de Folgueras sigue siendo el documento que probablemente resolvería el enlace.</x:v>
      </x:c>
      <x:c r="K73" s="121" t="str">
        <x:v>16ª pasada: búsqueda exacta por nombre, esposa, 1763 y Meiro sin hallar padres. La partida de bautismo/matrimonio es ya imprescindible para enlazarlo.</x:v>
      </x:c>
      <x:c r="L73" s="121" t="str">
        <x:v>Misma rama geográfica Sánchez de Ron / Méndez-Trelles de Meiro. Sin padres documentados en fuente abierta.</x:v>
      </x:c>
      <x:c r="M73" s="121" t="str">
        <x:v>BAJA / pendiente partida</x:v>
      </x:c>
      <x:c r="N73" s="121" t="str">
        <x:v>CANDIDATO NO ENLAZADO</x:v>
      </x:c>
    </x:row>
    <x:row r="74">
      <x:c r="A74" s="49" t="n">
        <x:v>73</x:v>
      </x:c>
      <x:c r="B74" s="49" t="str">
        <x:v>Leonor Suárez Trelles y Villamil</x:v>
      </x:c>
      <x:c r="C74" s="49" t="str"/>
      <x:c r="D74" s="49" t="str"/>
      <x:c r="E74" s="49" t="str"/>
      <x:c r="F74" s="49" t="str"/>
      <x:c r="G74" s="49" t="str">
        <x:v>NUEVA 2ª pasada: persona documentada; relación con Alonso García Infanzón probable</x:v>
      </x:c>
      <x:c r="H74" s="49" t="str">
        <x:v>https://archivosdeasturias.info/feaa/action/detalle?buttons%5B4%5D=loadDetailSerie&amp;idCuadro=1198&amp;idTipo=35861</x:v>
      </x:c>
      <x:c r="I74" s="49" t="str">
        <x:v>https://digibuo.uniovi.es/dspace/bitstream/10651/13044/1/TDRamonaPerezCastroPerezpdf.pdf</x:v>
      </x:c>
      <x:c r="J74" s="49" t="str">
        <x:v>El Archivo Histórico de Asturias conserva su expediente de filiación y parentesco (signatura 23.542/11), fechado 1671/1696. La tesis de la Universidad de Oviedo señala que Alonso García Infanzón actuó en 1671 en nombre de Leonor Suárez Trelles y Villamil, su mujer. Se incorpora porque puede completar la rama García-Infanzón/Trelles que aparece en la parte derecha del árbol.</x:v>
      </x:c>
      <x:c r="K74" s="49" t="str">
        <x:v>Consultar el expediente 23.542/11: puede contener filiación, ascendientes, matrimonio y árbol probatorio</x:v>
      </x:c>
      <x:c r="L74" s="60" t="str">
        <x:v>Esposa de Alonso García Infanzón (ID 58), según expediente de dote de 1671 y estudio de la Univ. de Oviedo.</x:v>
      </x:c>
      <x:c r="M74" s="60" t="str">
        <x:v>ALTA</x:v>
      </x:c>
      <x:c r="N74" s="12" t="str">
        <x:v>ENLAZADO</x:v>
      </x:c>
    </x:row>
    <x:row r="75">
      <x:c r="A75" s="61" t="n">
        <x:v>74</x:v>
      </x:c>
      <x:c r="B75" s="61" t="str">
        <x:v>Juan García Infanzón (padre)</x:v>
      </x:c>
      <x:c r="C75" s="61" t="str"/>
      <x:c r="D75" s="61" t="str">
        <x:v>Coaña (Asturias)</x:v>
      </x:c>
      <x:c r="E75" s="61" t="str"/>
      <x:c r="F75" s="61" t="str"/>
      <x:c r="G75" s="61" t="str">
        <x:v>NUEVA 3ª pasada: documentado en PARES</x:v>
      </x:c>
      <x:c r="H75" s="61" t="str">
        <x:v>https://pares.mcu.es/ParesBusquedas20/catalogo/find?archivo=8&amp;idAut=70553&amp;idLP=-1&amp;idN=19&amp;nomAut=Coa%C3%B1a+%28Asturias%2C+Espa%C3%B1a%29&amp;tipoAsocAut=1</x:v>
      </x:c>
      <x:c r="I75" s="61" t="str"/>
      <x:c r="J75" s="61" t="str">
        <x:v>PARES registra una probanza de 1627 de Juan García Infanzón y sus hijos Juan, Miguel y Alonso, vecinos de Coaña. Por cronología y nombre, el hijo Alonso es un candidato fuerte a ser el Alonso García Infanzón que en 1671 actúa por Leonor Suárez Trelles y Villamil, pero la ficha pública no demuestra que ambos Alonso sean exactamente la misma persona.</x:v>
      </x:c>
      <x:c r="K75" s="61" t="str">
        <x:v>Consultar SALA DE HIJOSDALGO, CAJA 1391,13 y el expediente de 1671 de Leonor para cerrar identidad.</x:v>
      </x:c>
      <x:c r="L75" s="61" t="str">
        <x:v>Padre documentado de un Alonso García Infanzón; posible padre del Alonso García Infanzón Fernández (ID 58).</x:v>
      </x:c>
      <x:c r="M75" s="61" t="str">
        <x:v>MEDIA-ALTA</x:v>
      </x:c>
      <x:c r="N75" s="12" t="str">
        <x:v>ENLAZADO</x:v>
      </x:c>
    </x:row>
    <x:row r="76">
      <x:c r="A76" s="61" t="n">
        <x:v>75</x:v>
      </x:c>
      <x:c r="B76" s="61" t="str">
        <x:v>Juan García Infanzón (hijo)</x:v>
      </x:c>
      <x:c r="C76" s="61" t="str"/>
      <x:c r="D76" s="61" t="str">
        <x:v>Coaña (Asturias)</x:v>
      </x:c>
      <x:c r="E76" s="61" t="str"/>
      <x:c r="F76" s="61" t="str"/>
      <x:c r="G76" s="61" t="str">
        <x:v>NUEVA 3ª pasada: documentado en PARES</x:v>
      </x:c>
      <x:c r="H76" s="61" t="str">
        <x:v>https://pares.mcu.es/ParesBusquedas20/catalogo/find?archivo=8&amp;idAut=70553&amp;idLP=-1&amp;idN=19&amp;nomAut=Coa%C3%B1a+%28Asturias%2C+Espa%C3%B1a%29&amp;tipoAsocAut=1</x:v>
      </x:c>
      <x:c r="I76" s="61" t="str"/>
      <x:c r="J76" s="61" t="str">
        <x:v>Figura en la probanza de 1627 como hijo de Juan García Infanzón y hermano de Miguel y Alonso.</x:v>
      </x:c>
      <x:c r="K76" s="61" t="str">
        <x:v>Consultar SALA DE HIJOSDALGO, CAJA 1391,13 para edad, estado y posibles descendientes.</x:v>
      </x:c>
      <x:c r="L76" s="61" t="str">
        <x:v>Hermano del Alonso García Infanzón de la probanza de 1627; sería tío colateral si ese Alonso es el ID 58.</x:v>
      </x:c>
      <x:c r="M76" s="61" t="str">
        <x:v>ALTA en la probanza / MEDIA respecto al ID58</x:v>
      </x:c>
      <x:c r="N76" s="12" t="str">
        <x:v>ENLAZADO</x:v>
      </x:c>
    </x:row>
    <x:row r="77">
      <x:c r="A77" s="61" t="n">
        <x:v>76</x:v>
      </x:c>
      <x:c r="B77" s="61" t="str">
        <x:v>Miguel García Infanzón</x:v>
      </x:c>
      <x:c r="C77" s="61" t="str"/>
      <x:c r="D77" s="61" t="str">
        <x:v>Coaña (Asturias)</x:v>
      </x:c>
      <x:c r="E77" s="61" t="str"/>
      <x:c r="F77" s="61" t="str"/>
      <x:c r="G77" s="61" t="str">
        <x:v>NUEVA 3ª pasada: documentado en PARES</x:v>
      </x:c>
      <x:c r="H77" s="61" t="str">
        <x:v>https://pares.mcu.es/ParesBusquedas20/catalogo/find?archivo=8&amp;idAut=70553&amp;idLP=-1&amp;idN=19&amp;nomAut=Coa%C3%B1a+%28Asturias%2C+Espa%C3%B1a%29&amp;tipoAsocAut=1</x:v>
      </x:c>
      <x:c r="I77" s="61" t="str"/>
      <x:c r="J77" s="61" t="str">
        <x:v>Figura en la probanza de 1627 como hijo de Juan García Infanzón y hermano de Juan y Alonso.</x:v>
      </x:c>
      <x:c r="K77" s="61" t="str">
        <x:v>Consultar SALA DE HIJOSDALGO, CAJA 1391,13 para completar filiación y descendencia.</x:v>
      </x:c>
      <x:c r="L77" s="61" t="str">
        <x:v>Hermano del Alonso García Infanzón de la probanza de 1627; sería tío colateral si ese Alonso es el ID 58.</x:v>
      </x:c>
      <x:c r="M77" s="61" t="str">
        <x:v>ALTA en la probanza / MEDIA respecto al ID58</x:v>
      </x:c>
      <x:c r="N77" s="12" t="str">
        <x:v>ENLAZADO</x:v>
      </x:c>
    </x:row>
    <x:row r="78">
      <x:c r="A78" s="61" t="n">
        <x:v>77</x:v>
      </x:c>
      <x:c r="B78" s="61" t="str">
        <x:v>Pelayo Antonio Méndez Trelles (padre)</x:v>
      </x:c>
      <x:c r="C78" s="61" t="str"/>
      <x:c r="D78" s="61" t="str">
        <x:v>Villacondide / entorno de Coaña (Asturias)</x:v>
      </x:c>
      <x:c r="E78" s="61" t="str"/>
      <x:c r="F78" s="61" t="str"/>
      <x:c r="G78" s="61" t="str">
        <x:v>NUEVA 3ª pasada: dos generaciones homónimas documentadas</x:v>
      </x:c>
      <x:c r="H78" s="61" t="str">
        <x:v>https://digibuo.uniovi.es/dspace/bitstream/10651/13044/1/TDRamonaPerezCastroPerezpdf.pdf</x:v>
      </x:c>
      <x:c r="I78" s="61" t="str">
        <x:v>https://dialnet.unirioja.es/descarga/articulo/3016531.pdf</x:v>
      </x:c>
      <x:c r="J78" s="61" t="str">
        <x:v>La tesis de la Universidad de Oviedo indica que actuó como patrono de las Pías Memorias de Villacondide un Pelayo Antonio Méndez Trelles y que, a su muerte, le sucedió un hijo de igual nombre. El padrón de 1780 cita a «don Pelayo Antonio Méndez Trelles, menor», lo que encaja con la generación del hijo.</x:v>
      </x:c>
      <x:c r="K78" s="61" t="str">
        <x:v>Revisar cuentas del patronato y libros de Villacondide para fechar muerte del padre y bautismo del hijo.</x:v>
      </x:c>
      <x:c r="L78" s="61" t="str">
        <x:v>Padre de otro Pelayo Antonio Méndez Trelles. El ID 52 del Excel corresponde a una de estas dos generaciones, aún por decidir.</x:v>
      </x:c>
      <x:c r="M78" s="61" t="str">
        <x:v>ALTA para padre-hijo / MEDIA para ID52</x:v>
      </x:c>
      <x:c r="N78" s="12" t="str">
        <x:v>ENLAZADO</x:v>
      </x:c>
    </x:row>
    <x:row r="79">
      <x:c r="A79" s="61" t="n">
        <x:v>78</x:v>
      </x:c>
      <x:c r="B79" s="61" t="str">
        <x:v>Pelayo Antonio Méndez Trelles (hijo, «menor»)</x:v>
      </x:c>
      <x:c r="C79" s="61" t="str"/>
      <x:c r="D79" s="61" t="str">
        <x:v>Villacondide / entorno de Coaña (Asturias)</x:v>
      </x:c>
      <x:c r="E79" s="61" t="str"/>
      <x:c r="F79" s="61" t="str"/>
      <x:c r="G79" s="61" t="str">
        <x:v>NUEVA 3ª pasada: documentado como hijo homónimo</x:v>
      </x:c>
      <x:c r="H79" s="61" t="str">
        <x:v>https://digibuo.uniovi.es/dspace/bitstream/10651/13044/1/TDRamonaPerezCastroPerezpdf.pdf</x:v>
      </x:c>
      <x:c r="I79" s="61" t="str">
        <x:v>https://dialnet.unirioja.es/descarga/articulo/3016531.pdf</x:v>
      </x:c>
      <x:c r="J79" s="61" t="str">
        <x:v>La tesis afirma que heredó el patronato a la muerte de su padre homónimo. El padrón de Villacondide de 1780 menciona a «don Pelayo Antonio Méndez Trelles, menor» como empadronador por el estado noble.</x:v>
      </x:c>
      <x:c r="K79" s="61" t="str">
        <x:v>Buscar bautismo anterior a 1780 y expedientes de cuentas posteriores para identificarlo plenamente.</x:v>
      </x:c>
      <x:c r="L79" s="61" t="str">
        <x:v>Hijo del Pelayo Antonio Méndez Trelles anterior (ID 77). El ID 52 podría ser este hijo o el padre.</x:v>
      </x:c>
      <x:c r="M79" s="61" t="str">
        <x:v>ALTA para padre-hijo / MEDIA para ID52</x:v>
      </x:c>
      <x:c r="N79" s="12" t="str">
        <x:v>ENLAZADO</x:v>
      </x:c>
    </x:row>
    <x:row r="80">
      <x:c r="A80" s="64" t="n">
        <x:v>79</x:v>
      </x:c>
      <x:c r="B80" s="64" t="str">
        <x:v>Suero González de Trelles</x:v>
      </x:c>
      <x:c r="C80" s="64" t="str"/>
      <x:c r="D80" s="137" t="str">
        <x:v>Pumarín, San Juan de Trelles, Coaña (Asturias)</x:v>
      </x:c>
      <x:c r="E80" s="147" t="str">
        <x:v>antes de 1610 (testimonio: muerto hacía más de 50 años)</x:v>
      </x:c>
      <x:c r="F80" s="147" t="str"/>
      <x:c r="G80" s="147" t="str">
        <x:v>NUEVA 4ª pasada: documentado en padrones y estudio genealógico</x:v>
      </x:c>
      <x:c r="H80" s="147" t="str">
        <x:v>https://dialnet.unirioja.es/descarga/articulo/3016531.pdf</x:v>
      </x:c>
      <x:c r="I80" s="147" t="str">
        <x:v>https://es.wikipedia.org/wiki/Benito_de_Trelles</x:v>
      </x:c>
      <x:c r="J80" s="147" t="str">
        <x:v>El estudio de Gonzalo Anes lo documenta como marido de María Alfonso/Alonso Infanzón y después de María Méndez Morán de Navia. En los padrones de 1626 y 1632 ya figura como difunto. En 1595 todavía aparece junto a María Alfonso Infanzón apadrinando un bautismo en Villacondide. 17ª pasada: un testimonio genealógico antiguo indica que Suero González de Trelles y María Alfonso Infanzón estaban sepultados en la parroquia de Trelles. Se conserva como lugar de sepultura, no como lugar de defunción. 19ª pasada: testimonio de 1636/1666: Suero González de Trelles era natural y vecino de Pumarín. 21ª pasada: un testigo declaró en 1666 que Suero había muerto hacía 52 años, lo que sitúa su fallecimiento antes o hacia 1614. Es una estimación retrospectiva del testigo, no una partida de defunción. 22ª pasada — CORRECCIÓN: la transcripción exacta dice que Suero González de Trelles «había muerto hacía más de cincuenta años», por lo que Gonzalo Anes concluye «antes de 1610». Se sustituye la estimación anterior de 1614.</x:v>
      </x:c>
      <x:c r="K80" s="64" t="str">
        <x:v>Revisar padrones de Trelles 1590-1626 y protocolos notariales de Castropol/Coaña para acotar fecha de nacimiento y defunción.</x:v>
      </x:c>
      <x:c r="L80" s="64" t="str">
        <x:v>Esposo de María Alfonso Infanzón (ID 80). Padre de Catalina Suárez de Trelles Infanzón (ID 83) y de otros hijos documentados.</x:v>
      </x:c>
      <x:c r="M80" s="64" t="str">
        <x:v>ALTA</x:v>
      </x:c>
      <x:c r="N80" s="12" t="str">
        <x:v>ENLAZADO</x:v>
      </x:c>
    </x:row>
    <x:row r="81">
      <x:c r="A81" s="64" t="n">
        <x:v>80</x:v>
      </x:c>
      <x:c r="B81" s="64" t="str">
        <x:v>María Alfonso (o Alonso) Infanzón</x:v>
      </x:c>
      <x:c r="C81" s="64" t="str"/>
      <x:c r="D81" s="137" t="str">
        <x:v>Coaña (Asturias)</x:v>
      </x:c>
      <x:c r="E81" s="144" t="str">
        <x:v>antes de 1598 (testimonio de 1666: muerta hacía más de 68 años)</x:v>
      </x:c>
      <x:c r="F81" s="144" t="str"/>
      <x:c r="G81" s="144" t="str">
        <x:v>NUEVA 4ª pasada: filiación documentada</x:v>
      </x:c>
      <x:c r="H81" s="144" t="str">
        <x:v>https://dialnet.unirioja.es/descarga/articulo/3016531.pdf</x:v>
      </x:c>
      <x:c r="I81" s="144" t="str">
        <x:v>https://es.wikipedia.org/wiki/Benito_de_Trelles</x:v>
      </x:c>
      <x:c r="J81" s="147" t="str">
        <x:v>Natural de Coaña. El estudio la identifica como hija de Lucas Fernández Infanzón y María Alfonso. Aún vivía el 03/10/1595, cuando apadrinó un niño en Villacondide con su marido Suero González de Trelles. En el padrón de 1632 aparece ya como difunta. 17ª pasada: un testimonio genealógico antiguo indica que Suero González de Trelles y María Alfonso Infanzón estaban sepultados en la parroquia de Trelles. Se conserva como lugar de sepultura, no como lugar de defunción. 19ª pasada: Gonzalo Anes dice expresamente que María Alonso/Alfonso Infanzón había nacido en Coaña. 21ª pasada: un testigo declaró en 1666 que María Alonso Infanzón había muerto hacía más de 68 años, lo que sitúa el fallecimiento antes de 1598. Es una cota retrospectiva, no una partida. 22ª pasada: una síntesis biográfica de Benito de Trelles añade que María Alfonso Infanzón descendía de la Casa de Lamabona, en San Antolín de Villanueva (Navia). Se registra como origen de linaje, no como lugar de nacimiento, que sigue siendo Coaña.</x:v>
      </x:c>
      <x:c r="K81" s="64" t="str">
        <x:v>Buscar bautismo/matrimonio en Coaña y testamento o partida de defunción anterior a 1632.</x:v>
      </x:c>
      <x:c r="L81" s="64" t="str">
        <x:v>Esposa de Suero González de Trelles (ID 79). Hija de Lucas Fernández Infanzón (ID 81) y María Alfonso (ID 82). Madre de Catalina Suárez de Trelles Infanzón (ID 83).</x:v>
      </x:c>
      <x:c r="M81" s="64" t="str">
        <x:v>ALTA</x:v>
      </x:c>
      <x:c r="N81" s="12" t="str">
        <x:v>ENLAZADO</x:v>
      </x:c>
    </x:row>
    <x:row r="82">
      <x:c r="A82" s="64" t="n">
        <x:v>81</x:v>
      </x:c>
      <x:c r="B82" s="64" t="str">
        <x:v>Lucas Fernández Infanzón</x:v>
      </x:c>
      <x:c r="C82" s="64" t="str"/>
      <x:c r="D82" s="64" t="str">
        <x:v>Coaña (Asturias)</x:v>
      </x:c>
      <x:c r="E82" s="64" t="str"/>
      <x:c r="F82" s="64" t="str"/>
      <x:c r="G82" s="64" t="str">
        <x:v>NUEVA 4ª pasada: padre documentado</x:v>
      </x:c>
      <x:c r="H82" s="64" t="str">
        <x:v>https://dialnet.unirioja.es/descarga/articulo/3016531.pdf</x:v>
      </x:c>
      <x:c r="I82" s="64" t="str"/>
      <x:c r="J82" s="64" t="str">
        <x:v>El estudio genealógico identifica expresamente a María Alfonso Infanzón como hija de Lucas Fernández Infanzón y de María Alfonso, ambos de Coaña.</x:v>
      </x:c>
      <x:c r="K82" s="64" t="str">
        <x:v>Buscar padrones y protocolos de Coaña de mediados del siglo XVI.</x:v>
      </x:c>
      <x:c r="L82" s="64" t="str">
        <x:v>Padre de María Alfonso/Alonso Infanzón (ID 80); suegro de Suero González de Trelles (ID 79).</x:v>
      </x:c>
      <x:c r="M82" s="64" t="str">
        <x:v>ALTA</x:v>
      </x:c>
      <x:c r="N82" s="12" t="str">
        <x:v>ENLAZADO</x:v>
      </x:c>
    </x:row>
    <x:row r="83">
      <x:c r="A83" s="64" t="n">
        <x:v>82</x:v>
      </x:c>
      <x:c r="B83" s="64" t="str">
        <x:v>María Alfonso</x:v>
      </x:c>
      <x:c r="C83" s="64" t="str"/>
      <x:c r="D83" s="64" t="str">
        <x:v>Coaña (Asturias)</x:v>
      </x:c>
      <x:c r="E83" s="64" t="str"/>
      <x:c r="F83" s="64" t="str"/>
      <x:c r="G83" s="64" t="str">
        <x:v>NUEVA 4ª pasada: madre documentada</x:v>
      </x:c>
      <x:c r="H83" s="64" t="str">
        <x:v>https://dialnet.unirioja.es/descarga/articulo/3016531.pdf</x:v>
      </x:c>
      <x:c r="I83" s="64" t="str"/>
      <x:c r="J83" s="64" t="str">
        <x:v>El estudio genealógico identifica expresamente a María Alfonso Infanzón como hija de Lucas Fernández Infanzón y de María Alfonso, ambos de Coaña.</x:v>
      </x:c>
      <x:c r="K83" s="64" t="str">
        <x:v>Buscar padrones y protocolos de Coaña de mediados del siglo XVI.</x:v>
      </x:c>
      <x:c r="L83" s="64" t="str">
        <x:v>Madre de María Alfonso/Alonso Infanzón (ID 80); esposa de Lucas Fernández Infanzón (ID 81).</x:v>
      </x:c>
      <x:c r="M83" s="64" t="str">
        <x:v>ALTA</x:v>
      </x:c>
      <x:c r="N83" s="12" t="str">
        <x:v>ENLAZADO</x:v>
      </x:c>
    </x:row>
    <x:row r="84">
      <x:c r="A84" s="64" t="n">
        <x:v>83</x:v>
      </x:c>
      <x:c r="B84" s="64" t="str">
        <x:v>Catalina Suárez de Trelles Infanzón</x:v>
      </x:c>
      <x:c r="C84" s="64" t="str"/>
      <x:c r="D84" s="137" t="str">
        <x:v>Pumarín, San Juan de Trelles, Coaña (Asturias)</x:v>
      </x:c>
      <x:c r="E84" s="137" t="str"/>
      <x:c r="F84" s="137" t="str"/>
      <x:c r="G84" s="137" t="str">
        <x:v>NUEVA 4ª pasada: hija y matrimonio documentados</x:v>
      </x:c>
      <x:c r="H84" s="137" t="str">
        <x:v>https://dialnet.unirioja.es/descarga/articulo/3016531.pdf</x:v>
      </x:c>
      <x:c r="I84" s="137" t="str">
        <x:v>https://es.wikipedia.org/wiki/Benito_de_Trelles</x:v>
      </x:c>
      <x:c r="J84" s="137" t="str">
        <x:v>Hija de Suero González de Trelles y María Alfonso Infanzón. Casó en Villacondide en 1605 con Gonzalo Méndez de Coaña (Méndez de Meiro). El estudio documenta entre sus hijos a Lucas de Trelles, Lope Suárez de Trelles y Benito Trelles Coaña y Villamil. 19ª pasada: la biografía de Benito de Trelles identifica expresamente a Catalina Suárez de Trelles Infanzón como natural de Pumarín, San Juan de Trelles.</x:v>
      </x:c>
      <x:c r="K84" s="64" t="str">
        <x:v>Consultar el libro de casados de Villacondide (1605) y bautismos de sus hijos.</x:v>
      </x:c>
      <x:c r="L84" s="64" t="str">
        <x:v>Hija de IDs 79 y 80. Esposa de Gonzalo Méndez de Coaña (ID 84). Madre de Lope Suárez de Trelles (ID 85) y Benito Trelles Coaña y Villamil (ID 86).</x:v>
      </x:c>
      <x:c r="M84" s="64" t="str">
        <x:v>ALTA</x:v>
      </x:c>
      <x:c r="N84" s="12" t="str">
        <x:v>ENLAZADO</x:v>
      </x:c>
    </x:row>
    <x:row r="85">
      <x:c r="A85" s="64" t="n">
        <x:v>84</x:v>
      </x:c>
      <x:c r="B85" s="64" t="str">
        <x:v>Gonzalo Méndez de Coaña (Méndez de Meiro)</x:v>
      </x:c>
      <x:c r="C85" s="64" t="str"/>
      <x:c r="D85" s="64" t="str">
        <x:v>Meiro / Coaña (Asturias)</x:v>
      </x:c>
      <x:c r="E85" s="64" t="str"/>
      <x:c r="F85" s="64" t="str"/>
      <x:c r="G85" s="64" t="str">
        <x:v>NUEVA 4ª pasada: matrimonio documentado</x:v>
      </x:c>
      <x:c r="H85" s="64" t="str">
        <x:v>https://dialnet.unirioja.es/descarga/articulo/3016531.pdf</x:v>
      </x:c>
      <x:c r="I85" s="64" t="str">
        <x:v>https://es.wikipedia.org/wiki/Benito_de_Trelles</x:v>
      </x:c>
      <x:c r="J85" s="137" t="str">
        <x:v>Casó en Villacondide en 1605 con Catalina Suárez de Trelles Infanzón. Se le vincula con la casa de Meiro. 19ª pasada: FamilySearch propone Boal como nacimiento de Gonzalo Méndez de Trelles y Coaña, pero al ser un árbol colaborativo sin cita primaria visible no se sustituye el lugar actual de Meiro/Coaña.</x:v>
      </x:c>
      <x:c r="K85" s="137" t="str">
        <x:v>Buscar prueba de hábito, partida matrimonial o documento familiar que indique de forma explícita su naturalidad.</x:v>
      </x:c>
      <x:c r="L85" s="64" t="str">
        <x:v>Esposo de Catalina Suárez de Trelles Infanzón (ID 83). Padre de Lope Suárez de Trelles (ID 85) y Benito Trelles Coaña y Villamil (ID 86).</x:v>
      </x:c>
      <x:c r="M85" s="64" t="str">
        <x:v>ALTA</x:v>
      </x:c>
      <x:c r="N85" s="12" t="str">
        <x:v>ENLAZADO</x:v>
      </x:c>
    </x:row>
    <x:row r="86">
      <x:c r="A86" s="64" t="n">
        <x:v>85</x:v>
      </x:c>
      <x:c r="B86" s="64" t="str">
        <x:v>Lope Suárez de Trelles Coaña y Villamil</x:v>
      </x:c>
      <x:c r="C86" s="137" t="str">
        <x:v>12/04/1612 (bautismo)</x:v>
      </x:c>
      <x:c r="D86" s="137" t="str">
        <x:v>Serandinas, Boal (Asturias)</x:v>
      </x:c>
      <x:c r="E86" s="137" t="str"/>
      <x:c r="F86" s="137" t="str"/>
      <x:c r="G86" s="137" t="str">
        <x:v>NUEVA 4ª pasada: bautismo documentado en estudio</x:v>
      </x:c>
      <x:c r="H86" s="137" t="str">
        <x:v>https://dialnet.unirioja.es/descarga/articulo/3016531.pdf</x:v>
      </x:c>
      <x:c r="I86" s="137" t="str">
        <x:v>https://gw.geneanet.org/rebeco?lang=en&amp;n=suarez+de+trelles+coana+y+villamil&amp;p=lope</x:v>
      </x:c>
      <x:c r="J86" s="137" t="str">
        <x:v>El estudio de Gonzalo Anes indica que fue bautizado en Villacondide el 12/04/1612. Hermano mayor de Benito de Trelles. Geneanet coincide en los padres, pero se mantiene como fuente secundaria. 19ª pasada — CORRECCIÓN DE LUGAR: las pruebas de 1666 llaman expresamente al capitán Lope Suárez de Trelles «natural de Serandinas». La fecha 12/04/1612 corresponde al bautismo en Villacondide, por lo que ya no se usa Villacondide como lugar de nacimiento.</x:v>
      </x:c>
      <x:c r="K86" s="64" t="str">
        <x:v>Consultar directamente el libro de bautizados de Villacondide para obtener fecha de nacimiento y padrinos.</x:v>
      </x:c>
      <x:c r="L86" s="64" t="str">
        <x:v>Hijo de Gonzalo Méndez de Coaña (ID 84) y Catalina Suárez de Trelles Infanzón (ID 83). Hermano de Benito Trelles (ID 86).</x:v>
      </x:c>
      <x:c r="M86" s="64" t="str">
        <x:v>ALTA</x:v>
      </x:c>
      <x:c r="N86" s="12" t="str">
        <x:v>ENLAZADO</x:v>
      </x:c>
    </x:row>
    <x:row r="87">
      <x:c r="A87" s="64" t="n">
        <x:v>86</x:v>
      </x:c>
      <x:c r="B87" s="64" t="str">
        <x:v>Benito Trelles Coaña y Villamil</x:v>
      </x:c>
      <x:c r="C87" s="65" t="str">
        <x:v>04/04/1613</x:v>
      </x:c>
      <x:c r="D87" s="65" t="str">
        <x:v>Serandinas, Boal (Asturias)</x:v>
      </x:c>
      <x:c r="E87" s="65" t="str">
        <x:v>1682</x:v>
      </x:c>
      <x:c r="F87" s="134" t="str">
        <x:v>Madrid (Madrid)</x:v>
      </x:c>
      <x:c r="G87" s="134" t="str">
        <x:v>NUEVA 4ª pasada: persona históricamente documentada</x:v>
      </x:c>
      <x:c r="H87" s="134" t="str">
        <x:v>https://biblioteca3.uc3m.es/Colegiales/ficha2.php?codigo=1355</x:v>
      </x:c>
      <x:c r="I87" s="134" t="str">
        <x:v>https://es.wikipedia.org/wiki/Benito_de_Trelles</x:v>
      </x:c>
      <x:c r="J87" s="134" t="str">
        <x:v>17ª pasada: lugar de defunción confirmado en Madrid el 07/11/1682. La biografía de Benito de Trelles sitúa el fallecimiento en Madrid, colación de San Martín; su ficha de colegial confirma la identidad y cronología 1613–1682. 18ª pasada: se mantiene Madrid como lugar de fallecimiento; la biografía lo da expresamente: Madrid, 7/11/1682.</x:v>
      </x:c>
      <x:c r="K87" s="64" t="str">
        <x:v>Buscar partida de bautismo de Santa Marina de Serandinas para completar fecha exacta de bautismo y defunción.</x:v>
      </x:c>
      <x:c r="L87" s="64" t="str">
        <x:v>Hijo de Gonzalo Méndez de Coaña (ID 84) y Catalina Suárez de Trelles Infanzón (ID 83). Hermano de Lope Suárez de Trelles (ID 85).</x:v>
      </x:c>
      <x:c r="M87" s="64" t="str">
        <x:v>ALTA</x:v>
      </x:c>
      <x:c r="N87" s="12" t="str">
        <x:v>ENLAZADO</x:v>
      </x:c>
    </x:row>
    <x:row r="88">
      <x:c r="A88" s="64" t="n">
        <x:v>87</x:v>
      </x:c>
      <x:c r="B88" s="92" t="str">
        <x:v>Lope Suárez de Meiro / Lope Suárez de Trelles y Villamil</x:v>
      </x:c>
      <x:c r="C88" s="92" t="str"/>
      <x:c r="D88" s="126" t="str">
        <x:v>Serandinas (Boal, Asturias)</x:v>
      </x:c>
      <x:c r="E88" s="126" t="str"/>
      <x:c r="F88" s="126" t="str"/>
      <x:c r="G88" s="126" t="str">
        <x:v>NUEVA 12ª pasada: identidad/parentesco reforzados por escritura matrimonial y testamento</x:v>
      </x:c>
      <x:c r="H88" s="126" t="str">
        <x:v>https://dialnet.unirioja.es/descarga/articulo/3016531.pdf</x:v>
      </x:c>
      <x:c r="I88" s="126" t="str">
        <x:v>https://es.wikipedia.org/wiki/Benito_de_Trelles</x:v>
      </x:c>
      <x:c r="J88" s="126" t="str">
        <x:v>17ª pasada: la biografía de su nieto Benito de Trelles identifica expresamente al abuelo paterno Lope Suárez de Trelles y Villamil como natural de Serandinas. 17ª pasada: además, el testamento de Benito Trelles indica que Lope Suárez y Leonor Alfonso estaban sepultados en Santiago de Folgueras. Esto no prueba que fallecieran allí.</x:v>
      </x:c>
      <x:c r="K88" s="92" t="str">
        <x:v>Seguir la línea paterna con el testamento de Benito Trelles y las pruebas de hábito.</x:v>
      </x:c>
      <x:c r="L88" s="92" t="str">
        <x:v>Padre de Gonzalo Méndez de Coaña/Méndez de Meiro (ID 84). Esposo de Leonor Alfonso de Lantoira (ID 88).</x:v>
      </x:c>
      <x:c r="M88" s="92" t="str">
        <x:v>ALTA</x:v>
      </x:c>
      <x:c r="N88" s="12" t="str">
        <x:v>ENLAZADO</x:v>
      </x:c>
    </x:row>
    <x:row r="89">
      <x:c r="A89" s="64" t="n">
        <x:v>88</x:v>
      </x:c>
      <x:c r="B89" s="92" t="str">
        <x:v>Leonor Alonso / Leonor Alfonso de Lantoira y Villamil</x:v>
      </x:c>
      <x:c r="C89" s="92" t="str"/>
      <x:c r="D89" s="92" t="str">
        <x:v>Casa de Lantoira / occidente de Asturias</x:v>
      </x:c>
      <x:c r="E89" s="92" t="str"/>
      <x:c r="F89" s="92" t="str"/>
      <x:c r="G89" s="92" t="str">
        <x:v>NUEVA 12ª pasada: identidad/parentesco reforzados</x:v>
      </x:c>
      <x:c r="H89" s="92" t="str">
        <x:v>https://dialnet.unirioja.es/descarga/articulo/3016531.pdf</x:v>
      </x:c>
      <x:c r="I89" s="92" t="str">
        <x:v>https://es.wikipedia.org/wiki/Marquesado_de_Sala_de_Partinico</x:v>
      </x:c>
      <x:c r="J89" s="144" t="str">
        <x:v>La escritura matrimonial de 1601 llama Leonor Alonso a la madre de Gonzalo Méndez de Meiro. Fuentes genealógicas y nobiliarias posteriores desarrollan su nombre como Leonor Alfonso de Lantoira. La combinación de esposo, hijo y casa de Meiro permite tratarlas como la misma persona con alta confianza. 17ª pasada: el testamento de Benito Trelles indica que Lope Suárez y Leonor Alfonso estaban sepultados en Santiago de Folgueras. Esto no prueba que fallecieran allí. 20ª pasada: se precisa el origen familiar de la Casa de Lantoira: parroquia de San Juan de Moldes, concejo de Castropol. La fuente dice «de la casa de Lantoira», no «natural de», por lo que no se convierte en lugar de nacimiento confirmado. 21ª pasada: la Casa de Lantoira se localiza en San Juan de Moldes, Castropol. Sigue sin promoverse a lugar de nacimiento porque la fuente no usa «natural de».</x:v>
      </x:c>
      <x:c r="K89" s="140" t="str">
        <x:v>Buscar partida, información de limpieza o documento de la Casa de Lantoira que use expresamente «natural de San Juan de Moldes».</x:v>
      </x:c>
      <x:c r="L89" s="92" t="str">
        <x:v>Madre de Gonzalo Méndez de Coaña/Méndez de Meiro (ID 84). Esposa de Lope Suárez de Meiro/Trelles (ID 87).</x:v>
      </x:c>
      <x:c r="M89" s="92" t="str">
        <x:v>ALTA</x:v>
      </x:c>
      <x:c r="N89" s="12" t="str">
        <x:v>ENLAZADO</x:v>
      </x:c>
    </x:row>
    <x:row r="90">
      <x:c r="A90" s="65" t="n">
        <x:v>89</x:v>
      </x:c>
      <x:c r="B90" s="65" t="str">
        <x:v>Fernando Fernández de Trelles</x:v>
      </x:c>
      <x:c r="C90" s="65" t="str"/>
      <x:c r="D90" s="137" t="str">
        <x:v>Pumarín, San Juan de Trelles, Coaña (Asturias)</x:v>
      </x:c>
      <x:c r="E90" s="137" t="str"/>
      <x:c r="F90" s="137" t="str"/>
      <x:c r="G90" s="137" t="str">
        <x:v>NUEVA 5ª pasada: antepasado directo documentado en padrones y pruebas de nobleza</x:v>
      </x:c>
      <x:c r="H90" s="137" t="str">
        <x:v>https://dialnet.unirioja.es/descarga/articulo/3016531.pdf</x:v>
      </x:c>
      <x:c r="I90" s="137" t="str">
        <x:v>https://dialnet.unirioja.es/descarga/articulo/4151486.pdf</x:v>
      </x:c>
      <x:c r="J90" s="137" t="str">
        <x:v>10ª pasada — filiación afinada: en las pruebas de Benito González/Trelles de 1636, un testigo de unos 70 años declaró que Fernando Fernández de Trelles había sido hijo legítimo de Lope Alfonso de Pumarín y María García de Trelles. Otros testimonios y la declaración de Benito Trelles de 1666 lo hacían hijo de Lope Méndez de Trelles «el de Villar». Además, Gonzalo Anes afirma haber visto en original una escritura de dote de María Alonso Infanzón que da como abuelo paterno de Suero González de Trelles a Lope Méndez «el de Villar», hijo de Fernando López «de Villarín». Por tanto, existen al menos dos tradiciones documentales antiguas incompatibles: Lope Alfonso vs. Lope Méndez. 19ª pasada: la noticia de Salazar y Castro reproducida por Gonzalo Anes da a Fernando Fernández de Trelles como natural de Pumarín. Otra declaración antigua menciona «Callinas [sic.]», por lo que se conserva la discrepancia en observaciones.</x:v>
      </x:c>
      <x:c r="K90" s="80" t="str">
        <x:v>Consultar padrones originales de Castropol/Trelles 1578-1596 y la información de limpieza de sangre de Benito González.</x:v>
      </x:c>
      <x:c r="L90" s="80" t="str">
        <x:v>Hijo seguro de una pareja de la generación Lope/María García, pero el nombre del padre varía entre Lope Alfonso de Pumarín y Lope Méndez de Trelles.</x:v>
      </x:c>
      <x:c r="M90" s="80" t="str">
        <x:v>ALTA existencia / MEDIA filiación paterna exacta</x:v>
      </x:c>
      <x:c r="N90" s="12" t="str">
        <x:v>ENLAZADO</x:v>
      </x:c>
    </x:row>
    <x:row r="91">
      <x:c r="A91" s="65" t="n">
        <x:v>90</x:v>
      </x:c>
      <x:c r="B91" s="65" t="str">
        <x:v>Teresa Díaz de Trelles («Teresa del Río»)</x:v>
      </x:c>
      <x:c r="C91" s="65" t="str"/>
      <x:c r="D91" s="137" t="str">
        <x:v>Pumarín, San Juan de Trelles, Coaña (Asturias)</x:v>
      </x:c>
      <x:c r="E91" s="137" t="str"/>
      <x:c r="F91" s="137" t="str"/>
      <x:c r="G91" s="137" t="str">
        <x:v>NUEVA 5ª pasada: antepasada directa documentada</x:v>
      </x:c>
      <x:c r="H91" s="137" t="str">
        <x:v>https://dialnet.unirioja.es/descarga/articulo/3016531.pdf</x:v>
      </x:c>
      <x:c r="I91" s="137" t="str"/>
      <x:c r="J91" s="137" t="str">
        <x:v>Esposa de Fernando Fernández de Trelles y madre de Suero González de Trelles. En declaraciones genealógicas también aparece como «Teresa del Río». Don Benito Trelles afirmó que era hija de otro Suero González de Trelles, vecino de «el Río», en Pumarín. 19ª pasada: la noticia de Salazar y Castro da a Teresa del Río/Teresa Díaz de Trelles como natural de Pumarín. Otra declaración antigua menciona «Callinas [sic.]», por lo que se conserva la discrepancia.</x:v>
      </x:c>
      <x:c r="K91" s="65" t="str">
        <x:v>Buscar padrones del siglo XVI de Trelles y documentación de dote para precisar filiación materna.</x:v>
      </x:c>
      <x:c r="L91" s="65" t="str">
        <x:v>Madre de Suero González de Trelles (ID 79). Esposa de Fernando Fernández de Trelles (ID 89). Hija de Suero González de Trelles «del Río» (ID 94).</x:v>
      </x:c>
      <x:c r="M91" s="65" t="str">
        <x:v>ALTA</x:v>
      </x:c>
      <x:c r="N91" s="12" t="str">
        <x:v>ENLAZADO</x:v>
      </x:c>
    </x:row>
    <x:row r="92">
      <x:c r="A92" s="65" t="n">
        <x:v>91</x:v>
      </x:c>
      <x:c r="B92" s="65" t="str">
        <x:v>Lope Méndez de Trelles («el de Villar»)</x:v>
      </x:c>
      <x:c r="C92" s="65" t="str"/>
      <x:c r="D92" s="144" t="str">
        <x:v>Trelles, Coaña (Asturias)</x:v>
      </x:c>
      <x:c r="E92" s="144" t="str"/>
      <x:c r="F92" s="144" t="str"/>
      <x:c r="G92" s="144" t="str">
        <x:v>5ª/6ª pasada: documentado en padrón de 1524; filiación posterior documentada</x:v>
      </x:c>
      <x:c r="H92" s="144" t="str">
        <x:v>https://dialnet.unirioja.es/descarga/articulo/3016531.pdf</x:v>
      </x:c>
      <x:c r="I92" s="144" t="str"/>
      <x:c r="J92" s="147" t="str">
        <x:v>10ª pasada — hipótesis reforzada pero no exclusiva: Gonzalo Anes dice haber visto en original documentación de dote según la cual Lope Méndez de Trelles «el de Villar» fue abuelo paterno de Suero González de Trelles y padre de Fernando Fernández. Sin embargo, las pruebas de 1636 recogen a Lope Alfonso de Pumarín como padre de Fernando. Se conserva Lope Méndez como candidato de alto interés, no como padre único probado. 21ª pasada: una declaración de 1666 dice expresamente que Lope Méndez de Trelles y María García eran «naturales y vecinos de Trelles». Se sustituye la formulación más amplia Villar/Trelles por Trelles como naturalidad documentada. 22ª pasada: el testigo de 1666 no sabía cuándo habían muerto Lope Méndez de Trelles y María García, pero afirmó que ambos estaban enterrados en la misma parroquia de Trelles. Se conserva como sepultura, no como lugar de defunción.</x:v>
      </x:c>
      <x:c r="K92" s="80" t="str">
        <x:v>Contrastar con padrones más antiguos y la Colección Salazar y Castro D-45.</x:v>
      </x:c>
      <x:c r="L92" s="80" t="str">
        <x:v>Padre de Fernando Fernández de Trelles (ID 89). Esposo de María García de Trelles (ID 92).</x:v>
      </x:c>
      <x:c r="M92" s="80" t="str">
        <x:v>MEDIA-ALTA como candidato / conflicto con Lope Alfonso</x:v>
      </x:c>
      <x:c r="N92" s="12" t="str">
        <x:v>ENLAZADO CON HIPÓTESIS</x:v>
      </x:c>
    </x:row>
    <x:row r="93">
      <x:c r="A93" s="65" t="n">
        <x:v>92</x:v>
      </x:c>
      <x:c r="B93" s="65" t="str">
        <x:v>María García de Trelles</x:v>
      </x:c>
      <x:c r="C93" s="65" t="str"/>
      <x:c r="D93" s="144" t="str">
        <x:v>Trelles, Coaña (Asturias)</x:v>
      </x:c>
      <x:c r="E93" s="144" t="str"/>
      <x:c r="F93" s="144" t="str"/>
      <x:c r="G93" s="144" t="str">
        <x:v>NUEVA 5ª pasada: generación anterior citada en pruebas de nobleza</x:v>
      </x:c>
      <x:c r="H93" s="144" t="str">
        <x:v>https://dialnet.unirioja.es/descarga/articulo/3016531.pdf</x:v>
      </x:c>
      <x:c r="I93" s="144" t="str"/>
      <x:c r="J93" s="147" t="str">
        <x:v>10ª pasada — dato reforzado: las pruebas de 1636 nombran a María García de Trelles como mujer de Lope Alfonso de Pumarín y madre de Fernando Fernández de Trelles. La misma mujer aparece en la tradición que empareja a Fernando con Lope Méndez, por lo que su maternidad resulta más estable que la identidad exacta del padre. 21ª pasada: la declaración de 1666 la identifica, junto con Lope Méndez, como natural y vecina de Trelles. 22ª pasada: el testigo de 1666 no sabía cuándo habían muerto Lope Méndez de Trelles y María García, pero afirmó que ambos estaban enterrados en la misma parroquia de Trelles. Se conserva como sepultura, no como lugar de defunción.</x:v>
      </x:c>
      <x:c r="K93" s="80" t="str">
        <x:v>Consultar el expediente AHN Órdenes Militares, Santiago, 680-8220 para resolver la variante Lope Méndez/Lope Alfonso.</x:v>
      </x:c>
      <x:c r="L93" s="80" t="str">
        <x:v>Madre de Fernando Fernández de Trelles (ID 89). Esposa atribuida a Lope Alfonso de Pumarín (ID 140) en 1636 y a Lope Méndez de Trelles (ID 91) en otra documentación.</x:v>
      </x:c>
      <x:c r="M93" s="80" t="str">
        <x:v>ALTA maternidad / MEDIA esposo exacto</x:v>
      </x:c>
      <x:c r="N93" s="12" t="str">
        <x:v>ENLAZADO</x:v>
      </x:c>
    </x:row>
    <x:row r="94">
      <x:c r="A94" s="65" t="n">
        <x:v>93</x:v>
      </x:c>
      <x:c r="B94" s="65" t="str">
        <x:v>Fernán (o Fernando) López de Trelles («de Villar» / «de Villarín»)</x:v>
      </x:c>
      <x:c r="C94" s="65" t="str"/>
      <x:c r="D94" s="144" t="str">
        <x:v>Trelles, Coaña (Asturias)</x:v>
      </x:c>
      <x:c r="E94" s="144" t="str"/>
      <x:c r="F94" s="144" t="str"/>
      <x:c r="G94" s="144" t="str">
        <x:v>NUEVA 6ª pasada: presencia documental en 1542/1554</x:v>
      </x:c>
      <x:c r="H94" s="144" t="str">
        <x:v>https://dialnet.unirioja.es/descarga/articulo/3016531.pdf</x:v>
      </x:c>
      <x:c r="I94" s="144" t="str"/>
      <x:c r="J94" s="144" t="str">
        <x:v>7ª pasada — CORRECCIÓN: Fernán/Fernando López de Trelles solo es abuelo de Fernando Fernández si se acepta la declaración de Benito Trelles de 1666 (Fernando ← Lope Méndez ← Fernán López). La Colección Salazar y Castro D-45 ofrece una filiación alternativa para Fernando, por lo que esta línea anterior queda como hipótesis, aunque los individuos Fernán/Fernando López sí están documentados en padrones de 1542/1554. 21ª pasada: la misma declaración afirma que Fernán López de Trelles era «natural y vecino del mismo lugar», esto es, Trelles. Se conserva en observaciones el sobrenombre «de Villar/Villarín».</x:v>
      </x:c>
      <x:c r="K94" s="71" t="str">
        <x:v>Revisar documentos de dote en poder de la familia Herrera-Vaillant y la Colección Salazar y Castro.</x:v>
      </x:c>
      <x:c r="L94" s="71" t="str">
        <x:v>Padre de Lope Méndez de Trelles (ID 91). Bisabuelo por esta línea de Suero González de Trelles (ID 79).</x:v>
      </x:c>
      <x:c r="M94" s="71" t="str">
        <x:v>MEDIA-BAJA como antepasado directo; ALTA como persona documentada</x:v>
      </x:c>
      <x:c r="N94" s="12" t="str">
        <x:v>ENLAZADO CON HIPÓTESIS</x:v>
      </x:c>
    </x:row>
    <x:row r="95">
      <x:c r="A95" s="65" t="n">
        <x:v>94</x:v>
      </x:c>
      <x:c r="B95" s="65" t="str">
        <x:v>Suero González de Trelles («del Río», generación anterior)</x:v>
      </x:c>
      <x:c r="C95" s="65" t="str"/>
      <x:c r="D95" s="65" t="str">
        <x:v>El Río, Pumarín, parroquia de Trelles (Asturias)</x:v>
      </x:c>
      <x:c r="E95" s="65" t="str"/>
      <x:c r="F95" s="65" t="str"/>
      <x:c r="G95" s="68" t="str">
        <x:v>NUEVA 6ª pasada: documentado en padrón de 1524</x:v>
      </x:c>
      <x:c r="H95" s="68" t="str">
        <x:v>https://dialnet.unirioja.es/descarga/articulo/3016531.pdf</x:v>
      </x:c>
      <x:c r="I95" s="68" t="str"/>
      <x:c r="J95" s="68" t="str">
        <x:v>El padrón de 1524 contiene un asiento de «Suero González del Río». Las pruebas genealógicas posteriores identifican al padre de Teresa Díaz de Trelles como Suero González de Trelles, vecino de «donde dicen el Río», en Pumarín. La coincidencia es muy fuerte, aunque el padrón de 1524 no expresa la filiación de Teresa.</x:v>
      </x:c>
      <x:c r="K95" s="65" t="str">
        <x:v>Consultar pruebas de 1666 y padrones del siglo XVI para separar inequívocamente los homónimos.</x:v>
      </x:c>
      <x:c r="L95" s="65" t="str">
        <x:v>Padre de Teresa Díaz de Trelles (ID 90). Abuelo materno de Suero González de Trelles (ID 79).</x:v>
      </x:c>
      <x:c r="M95" s="65" t="str">
        <x:v>MEDIA-ALTA</x:v>
      </x:c>
      <x:c r="N95" s="12" t="str">
        <x:v>ENLAZADO</x:v>
      </x:c>
    </x:row>
    <x:row r="96">
      <x:c r="A96" s="65" t="n">
        <x:v>95</x:v>
      </x:c>
      <x:c r="B96" s="65" t="str">
        <x:v>María Méndez Morán de Navia</x:v>
      </x:c>
      <x:c r="C96" s="65" t="str"/>
      <x:c r="D96" s="65" t="str">
        <x:v>Navia / occidente de Asturias</x:v>
      </x:c>
      <x:c r="E96" s="65" t="str"/>
      <x:c r="F96" s="65" t="str"/>
      <x:c r="G96" s="65" t="str">
        <x:v>NUEVA 5ª pasada: segunda esposa documentada</x:v>
      </x:c>
      <x:c r="H96" s="65" t="str">
        <x:v>https://dialnet.unirioja.es/descarga/articulo/3016531.pdf</x:v>
      </x:c>
      <x:c r="I96" s="65" t="str">
        <x:v>https://dialnet.unirioja.es/descarga/articulo/4151486.pdf</x:v>
      </x:c>
      <x:c r="J96" s="65" t="str">
        <x:v>Segunda esposa de Suero González de Trelles, después de enviudar de María Alfonso Infanzón. La investigación confirma que de este segundo matrimonio nacieron García Morán de Trelles y María Álvarez.</x:v>
      </x:c>
      <x:c r="K96" s="65" t="str">
        <x:v>Localizar escritura matrimonial y protocolos de Navia/Pumarín.</x:v>
      </x:c>
      <x:c r="L96" s="65" t="str">
        <x:v>Segunda esposa de Suero González de Trelles (ID 79). Madre de García Morán de Trelles (ID 96) y María Álvarez (ID 97).</x:v>
      </x:c>
      <x:c r="M96" s="65" t="str">
        <x:v>ALTA</x:v>
      </x:c>
      <x:c r="N96" s="12" t="str">
        <x:v>ENLAZADO</x:v>
      </x:c>
    </x:row>
    <x:row r="97">
      <x:c r="A97" s="65" t="n">
        <x:v>96</x:v>
      </x:c>
      <x:c r="B97" s="65" t="str">
        <x:v>García Morán de Trelles</x:v>
      </x:c>
      <x:c r="C97" s="65" t="str"/>
      <x:c r="D97" s="65" t="str">
        <x:v>Pumarín / Trelles (Asturias)</x:v>
      </x:c>
      <x:c r="E97" s="83" t="str">
        <x:v>24/04/1680</x:v>
      </x:c>
      <x:c r="F97" s="134" t="str"/>
      <x:c r="G97" s="134" t="str">
        <x:v>NUEVA 5ª pasada: hijo documentado con fecha de defunción</x:v>
      </x:c>
      <x:c r="H97" s="134" t="str">
        <x:v>https://dialnet.unirioja.es/descarga/articulo/3016531.pdf</x:v>
      </x:c>
      <x:c r="I97" s="134" t="str">
        <x:v>https://dialnet.unirioja.es/descarga/articulo/4151486.pdf</x:v>
      </x:c>
      <x:c r="J97" s="134" t="str">
        <x:v>11ª pasada: la partida de defunción de Villacondide fija su muerte el 24/04/1680. Había otorgado testamento y fue sepultado en la capilla mayor de la iglesia parroquial de Villacondide, en la sepultura inmediata a la de los capellanes. Dejó misas de aniversario y mejoró a su hijo Francisco Morán de Trelles. 18ª pasada — CORRECCIÓN: La fuente registra la muerte el 24/04/1680 en el libro de difuntos de Villacondide y el entierro en su iglesia, pero el pasaje no dice literalmente que falleciera dentro de Villacondide.</x:v>
      </x:c>
      <x:c r="K97" s="65" t="str">
        <x:v>Buscar partida de entierro y testamento cerrado citado en la investigación.</x:v>
      </x:c>
      <x:c r="L97" s="65" t="str">
        <x:v>Hijo de Suero González de Trelles (ID 79) y María Méndez Morán de Navia (ID 95). Medio hermano de Catalina Suárez de Trelles Infanzón (ID 83).</x:v>
      </x:c>
      <x:c r="M97" s="65" t="str">
        <x:v>ALTA</x:v>
      </x:c>
      <x:c r="N97" s="12" t="str">
        <x:v>ENLAZADO</x:v>
      </x:c>
    </x:row>
    <x:row r="98">
      <x:c r="A98" s="65" t="n">
        <x:v>97</x:v>
      </x:c>
      <x:c r="B98" s="65" t="str">
        <x:v>María Álvarez de Trelles</x:v>
      </x:c>
      <x:c r="C98" s="65" t="str"/>
      <x:c r="D98" s="65" t="str">
        <x:v>Pumarín / Trelles (Asturias)</x:v>
      </x:c>
      <x:c r="E98" s="65" t="str"/>
      <x:c r="F98" s="65" t="str"/>
      <x:c r="G98" s="65" t="str">
        <x:v>NUEVA 5ª pasada: hija documentada del segundo matrimonio</x:v>
      </x:c>
      <x:c r="H98" s="65" t="str">
        <x:v>https://dialnet.unirioja.es/descarga/articulo/4151486.pdf</x:v>
      </x:c>
      <x:c r="I98" s="65" t="str"/>
      <x:c r="J98" s="65" t="str">
        <x:v>El estudio de Gonzalo Anes señala que del matrimonio de Suero González de Trelles y María Méndez Morán de Navia fueron hijos García Morán de Trelles y María Álvarez.</x:v>
      </x:c>
      <x:c r="K98" s="65" t="str">
        <x:v>Buscar escritura de dote de 12/09/1623 y matrimonio con Lucas Fernández Infanzón mencionado en el estudio.</x:v>
      </x:c>
      <x:c r="L98" s="65" t="str">
        <x:v>Hija de Suero González de Trelles (ID 79) y María Méndez Morán de Navia (ID 95). Medio hermana de Catalina (ID 83).</x:v>
      </x:c>
      <x:c r="M98" s="65" t="str">
        <x:v>ALTA</x:v>
      </x:c>
      <x:c r="N98" s="12" t="str">
        <x:v>ENLAZADO</x:v>
      </x:c>
    </x:row>
    <x:row r="99">
      <x:c r="A99" s="65" t="n">
        <x:v>98</x:v>
      </x:c>
      <x:c r="B99" s="65" t="str">
        <x:v>Alonso González de Trelles</x:v>
      </x:c>
      <x:c r="C99" s="65" t="str"/>
      <x:c r="D99" s="65" t="str">
        <x:v>Pumarín / Trelles (Asturias)</x:v>
      </x:c>
      <x:c r="E99" s="65" t="str"/>
      <x:c r="F99" s="65" t="str"/>
      <x:c r="G99" s="65" t="str">
        <x:v>NUEVA 5ª pasada: hermano documentado en padrones</x:v>
      </x:c>
      <x:c r="H99" s="65" t="str">
        <x:v>https://dialnet.unirioja.es/descarga/articulo/3016531.pdf</x:v>
      </x:c>
      <x:c r="I99" s="65" t="str"/>
      <x:c r="J99" s="65" t="str">
        <x:v>Hijo legítimo de Suero González de Trelles y María Alonso/Alfonso Infanzón. Figura como bachiller y cura de Trelles en padrones del siglo XVII.</x:v>
      </x:c>
      <x:c r="K99" s="65" t="str">
        <x:v>Consultar padrones de 1620, 1626 y 1632 y expedientes eclesiásticos.</x:v>
      </x:c>
      <x:c r="L99" s="65" t="str">
        <x:v>Hijo de Suero González de Trelles (ID 79) y María Alfonso Infanzón (ID 80). Hermano de Catalina (ID 83).</x:v>
      </x:c>
      <x:c r="M99" s="65" t="str">
        <x:v>ALTA</x:v>
      </x:c>
      <x:c r="N99" s="12" t="str">
        <x:v>ENLAZADO</x:v>
      </x:c>
    </x:row>
    <x:row r="100">
      <x:c r="A100" s="65" t="n">
        <x:v>99</x:v>
      </x:c>
      <x:c r="B100" s="65" t="str">
        <x:v>Licenciado Suero González de Trelles</x:v>
      </x:c>
      <x:c r="C100" s="65" t="str"/>
      <x:c r="D100" s="65" t="str">
        <x:v>Pumarín / Trelles (Asturias)</x:v>
      </x:c>
      <x:c r="E100" s="65" t="str"/>
      <x:c r="F100" s="65" t="str"/>
      <x:c r="G100" s="65" t="str">
        <x:v>NUEVA 5ª pasada: hermano documentado</x:v>
      </x:c>
      <x:c r="H100" s="65" t="str">
        <x:v>https://dialnet.unirioja.es/descarga/articulo/3016531.pdf</x:v>
      </x:c>
      <x:c r="I100" s="65" t="str"/>
      <x:c r="J100" s="65" t="str">
        <x:v>Hijo de Suero González de Trelles y María Alfonso Infanzón; figura entre los hijos eclesiásticos del matrimonio.</x:v>
      </x:c>
      <x:c r="K100" s="65" t="str">
        <x:v>Buscar expedientes eclesiásticos y padrones de Trelles.</x:v>
      </x:c>
      <x:c r="L100" s="65" t="str">
        <x:v>Hijo de IDs 79 y 80. Hermano de Catalina Suárez de Trelles Infanzón (ID 83).</x:v>
      </x:c>
      <x:c r="M100" s="65" t="str">
        <x:v>ALTA</x:v>
      </x:c>
      <x:c r="N100" s="12" t="str">
        <x:v>ENLAZADO</x:v>
      </x:c>
    </x:row>
    <x:row r="101">
      <x:c r="A101" s="65" t="n">
        <x:v>100</x:v>
      </x:c>
      <x:c r="B101" s="65" t="str">
        <x:v>Lucas Fernández de Trelles (presbítero)</x:v>
      </x:c>
      <x:c r="C101" s="65" t="str"/>
      <x:c r="D101" s="65" t="str">
        <x:v>Pumarín / Trelles (Asturias)</x:v>
      </x:c>
      <x:c r="E101" s="65" t="str"/>
      <x:c r="F101" s="65" t="str"/>
      <x:c r="G101" s="65" t="str">
        <x:v>NUEVA 5ª pasada: hermano documentado y partícipe en escritura matrimonial</x:v>
      </x:c>
      <x:c r="H101" s="65" t="str">
        <x:v>https://dialnet.unirioja.es/descarga/articulo/3016531.pdf</x:v>
      </x:c>
      <x:c r="I101" s="65" t="str"/>
      <x:c r="J101" s="65" t="str">
        <x:v>Hijo de Suero González de Trelles y María Alfonso Infanzón. En 1601 aparece como bachiller/cura de Serandinas participando con su padre en la escritura concertada para casar a su hermana Catalina con Gonzalo Méndez de Meiro.</x:v>
      </x:c>
      <x:c r="K101" s="65" t="str">
        <x:v>Localizar protocolo de Alonso Morán de 06/08/1601, folio 3.</x:v>
      </x:c>
      <x:c r="L101" s="65" t="str">
        <x:v>Hijo de IDs 79 y 80. Hermano de Catalina (ID 83).</x:v>
      </x:c>
      <x:c r="M101" s="65" t="str">
        <x:v>ALTA</x:v>
      </x:c>
      <x:c r="N101" s="12" t="str">
        <x:v>ENLAZADO</x:v>
      </x:c>
    </x:row>
    <x:row r="102">
      <x:c r="A102" s="65" t="n">
        <x:v>101</x:v>
      </x:c>
      <x:c r="B102" s="65" t="str">
        <x:v>María Alonso de Trelles</x:v>
      </x:c>
      <x:c r="C102" s="65" t="str"/>
      <x:c r="D102" s="65" t="str">
        <x:v>Pumarín / Trelles (Asturias)</x:v>
      </x:c>
      <x:c r="E102" s="65" t="str"/>
      <x:c r="F102" s="65" t="str"/>
      <x:c r="G102" s="65" t="str">
        <x:v>NUEVA 5ª pasada: hermana con matrimonio documentado</x:v>
      </x:c>
      <x:c r="H102" s="65" t="str">
        <x:v>https://dialnet.unirioja.es/descarga/articulo/3016531.pdf</x:v>
      </x:c>
      <x:c r="I102" s="65" t="str"/>
      <x:c r="J102" s="65" t="str">
        <x:v>Hija de Suero González de Trelles y María Alonso Infanzón. El estudio confirma su matrimonio con Alonso López Infanzón, vecino de Folgueras.</x:v>
      </x:c>
      <x:c r="K102" s="65" t="str">
        <x:v>Consultar testamento de Alonso López Infanzón de 09/03/1616 y documentación de Folgueras.</x:v>
      </x:c>
      <x:c r="L102" s="65" t="str">
        <x:v>Hija de IDs 79 y 80. Hermana de Catalina (ID 83). Esposa de Alonso López Infanzón (ID 102).</x:v>
      </x:c>
      <x:c r="M102" s="65" t="str">
        <x:v>ALTA</x:v>
      </x:c>
      <x:c r="N102" s="12" t="str">
        <x:v>ENLAZADO</x:v>
      </x:c>
    </x:row>
    <x:row r="103">
      <x:c r="A103" s="65" t="n">
        <x:v>102</x:v>
      </x:c>
      <x:c r="B103" s="65" t="str">
        <x:v>Alonso López Infanzón</x:v>
      </x:c>
      <x:c r="C103" s="65" t="str">
        <x:v>c. 1555 ?</x:v>
      </x:c>
      <x:c r="D103" s="65" t="str">
        <x:v>Folgueras, Coaña (Asturias)</x:v>
      </x:c>
      <x:c r="E103" s="65" t="str">
        <x:v>después del 09/03/1616</x:v>
      </x:c>
      <x:c r="F103" s="65" t="str"/>
      <x:c r="G103" s="65" t="str">
        <x:v>NUEVA 5ª pasada: cónyuge documentado, cronología aproximada</x:v>
      </x:c>
      <x:c r="H103" s="65" t="str">
        <x:v>https://dialnet.unirioja.es/descarga/articulo/3016531.pdf</x:v>
      </x:c>
      <x:c r="I103" s="65" t="str"/>
      <x:c r="J103" s="65" t="str">
        <x:v>Vecino de Folgueras y marido de María Alonso de Trelles. Gonzalo Anes indica que parece haber nacido en 1555 y que otorgó testamento el 09/03/1616; por ello su fallecimiento fue posterior a esa fecha.</x:v>
      </x:c>
      <x:c r="K103" s="65" t="str">
        <x:v>Buscar el testamento original y partida de entierro en Santiago de Folgueras.</x:v>
      </x:c>
      <x:c r="L103" s="65" t="str">
        <x:v>Esposo de María Alonso de Trelles (ID 101), hermana de Catalina (ID 83).</x:v>
      </x:c>
      <x:c r="M103" s="65" t="str">
        <x:v>ALTA relación / MEDIA fecha nacimiento</x:v>
      </x:c>
      <x:c r="N103" s="12" t="str">
        <x:v>ENLAZADO</x:v>
      </x:c>
    </x:row>
    <x:row r="104">
      <x:c r="A104" s="65" t="n">
        <x:v>103</x:v>
      </x:c>
      <x:c r="B104" s="65" t="str">
        <x:v>Teresa Díaz de Trelles Infanzón</x:v>
      </x:c>
      <x:c r="C104" s="65" t="str"/>
      <x:c r="D104" s="65" t="str">
        <x:v>Pumarín / Trelles (Asturias)</x:v>
      </x:c>
      <x:c r="E104" s="65" t="str"/>
      <x:c r="F104" s="65" t="str"/>
      <x:c r="G104" s="65" t="str">
        <x:v>NUEVA 5ª pasada: hermana con descendencia documentada</x:v>
      </x:c>
      <x:c r="H104" s="65" t="str">
        <x:v>https://dialnet.unirioja.es/descarga/articulo/3016531.pdf</x:v>
      </x:c>
      <x:c r="I104" s="65" t="str">
        <x:v>https://dialnet.unirioja.es/descarga/articulo/4151486.pdf</x:v>
      </x:c>
      <x:c r="J104" s="65" t="str">
        <x:v>Hija de Suero González de Trelles y María Alfonso Infanzón. Casó con Diego Pérez de Trelles Pumarín y Navia, señor de la casa de Talarén; el estudio documenta descendencia.</x:v>
      </x:c>
      <x:c r="K104" s="65" t="str">
        <x:v>Buscar matrimonio y padrones de Talarén/Navia.</x:v>
      </x:c>
      <x:c r="L104" s="65" t="str">
        <x:v>Hija de IDs 79 y 80. Hermana de Catalina (ID 83). Esposa de Diego Pérez de Trelles Pumarín y Navia (ID 104).</x:v>
      </x:c>
      <x:c r="M104" s="65" t="str">
        <x:v>ALTA</x:v>
      </x:c>
      <x:c r="N104" s="12" t="str">
        <x:v>ENLAZADO</x:v>
      </x:c>
    </x:row>
    <x:row r="105">
      <x:c r="A105" s="65" t="n">
        <x:v>104</x:v>
      </x:c>
      <x:c r="B105" s="65" t="str">
        <x:v>Diego Pérez de Trelles Pumarín y Navia</x:v>
      </x:c>
      <x:c r="C105" s="65" t="str"/>
      <x:c r="D105" s="65" t="str">
        <x:v>Talarén / Navia (Asturias)</x:v>
      </x:c>
      <x:c r="E105" s="65" t="str"/>
      <x:c r="F105" s="65" t="str"/>
      <x:c r="G105" s="65" t="str">
        <x:v>NUEVA 5ª pasada: cónyuge documentado</x:v>
      </x:c>
      <x:c r="H105" s="65" t="str">
        <x:v>https://dialnet.unirioja.es/descarga/articulo/4151486.pdf</x:v>
      </x:c>
      <x:c r="I105" s="65" t="str"/>
      <x:c r="J105" s="65" t="str">
        <x:v>Señor de la casa de Talarén y esposo de Teresa Díaz de Trelles Infanzón. Entre sus hijos se documenta a Pedro de Trelles Villamil.</x:v>
      </x:c>
      <x:c r="K105" s="65" t="str">
        <x:v>Consultar padrones de Talarén/Navia y escrituras de la casa.</x:v>
      </x:c>
      <x:c r="L105" s="65" t="str">
        <x:v>Esposo de Teresa Díaz de Trelles Infanzón (ID 103), hermana de Catalina (ID 83).</x:v>
      </x:c>
      <x:c r="M105" s="65" t="str">
        <x:v>ALTA</x:v>
      </x:c>
      <x:c r="N105" s="12" t="str">
        <x:v>ENLAZADO</x:v>
      </x:c>
    </x:row>
    <x:row r="106">
      <x:c r="A106" s="68" t="n">
        <x:v>105</x:v>
      </x:c>
      <x:c r="B106" s="68" t="str">
        <x:v>Diego Rodríguez de Trelles</x:v>
      </x:c>
      <x:c r="C106" s="68" t="str"/>
      <x:c r="D106" s="68" t="str">
        <x:v>Trelles / Villar (Asturias)</x:v>
      </x:c>
      <x:c r="E106" s="68" t="str"/>
      <x:c r="F106" s="68" t="str"/>
      <x:c r="G106" s="68" t="str">
        <x:v>NUEVA 6ª pasada: hermano documentado en padrón de 1524</x:v>
      </x:c>
      <x:c r="H106" s="68" t="str">
        <x:v>https://dialnet.unirioja.es/descarga/articulo/3016531.pdf</x:v>
      </x:c>
      <x:c r="I106" s="68" t="str"/>
      <x:c r="J106" s="68" t="str">
        <x:v>En el padrón de 1524 figura inmediatamente con Lope Méndez de Villar como «Diego Rodríguez su hermano»; ambos fueron calificados de hijosdalgo notorios del solar de Trelles. Vuelve a aparecer como Diego Rodríguez de Trelles en los padrones de 1536, 1542 y 1554.</x:v>
      </x:c>
      <x:c r="K106" s="68" t="str">
        <x:v>Revisar los padrones originales de 1524–1554 para comprobar si incluyen edad, casa o descendencia.</x:v>
      </x:c>
      <x:c r="L106" s="68" t="str">
        <x:v>Hermano de Lope Méndez de Trelles «el de Villar» (ID 91). Tío de Fernando Fernández de Trelles (ID 89).</x:v>
      </x:c>
      <x:c r="M106" s="68" t="str">
        <x:v>MEDIA-ALTA</x:v>
      </x:c>
      <x:c r="N106" s="12" t="str">
        <x:v>ENLAZADO</x:v>
      </x:c>
    </x:row>
    <x:row r="107">
      <x:c r="A107" s="68" t="n">
        <x:v>106</x:v>
      </x:c>
      <x:c r="B107" s="68" t="str">
        <x:v>Lope Méndez de Trelles (hijo de Fernando Fernández)</x:v>
      </x:c>
      <x:c r="C107" s="68" t="str"/>
      <x:c r="D107" s="68" t="str">
        <x:v>Pumarín / Trelles (Asturias)</x:v>
      </x:c>
      <x:c r="E107" s="68" t="str"/>
      <x:c r="F107" s="68" t="str"/>
      <x:c r="G107" s="68" t="str">
        <x:v>NUEVA 6ª pasada: hijo documentado en padrón de 1584</x:v>
      </x:c>
      <x:c r="H107" s="68" t="str">
        <x:v>https://dialnet.unirioja.es/descarga/articulo/3016531.pdf</x:v>
      </x:c>
      <x:c r="I107" s="68" t="str"/>
      <x:c r="J107" s="68" t="str">
        <x:v>El padrón de 1584 lo cita expresamente como hijo de Fernando Fernández de Trelles. Es una generación distinta del Lope Méndez «el de Villar» (ID 91), que era abuelo de este grupo.</x:v>
      </x:c>
      <x:c r="K107" s="68" t="str">
        <x:v>Seguir en padrones de 1590–1603 y protocolos para matrimonio/descendencia.</x:v>
      </x:c>
      <x:c r="L107" s="68" t="str">
        <x:v>Hijo de Fernando Fernández de Trelles (ID 89). Hermano de Suero González de Trelles (ID 79), Juan García (ID 107), Domingo Pérez (ID 108), Fernando Fernández (ID 109) y Marcos (ID 110).</x:v>
      </x:c>
      <x:c r="M107" s="68" t="str">
        <x:v>ALTA</x:v>
      </x:c>
      <x:c r="N107" s="12" t="str">
        <x:v>ENLAZADO</x:v>
      </x:c>
    </x:row>
    <x:row r="108">
      <x:c r="A108" s="68" t="n">
        <x:v>107</x:v>
      </x:c>
      <x:c r="B108" s="68" t="str">
        <x:v>Juan García (hijo de Fernando Fernández de Trelles)</x:v>
      </x:c>
      <x:c r="C108" s="68" t="str"/>
      <x:c r="D108" s="68" t="str">
        <x:v>Pumarín / Trelles (Asturias)</x:v>
      </x:c>
      <x:c r="E108" s="68" t="str"/>
      <x:c r="F108" s="68" t="str"/>
      <x:c r="G108" s="68" t="str">
        <x:v>NUEVA 6ª pasada: hijo documentado</x:v>
      </x:c>
      <x:c r="H108" s="68" t="str">
        <x:v>https://dialnet.unirioja.es/descarga/articulo/3016531.pdf</x:v>
      </x:c>
      <x:c r="I108" s="68" t="str"/>
      <x:c r="J108" s="68" t="str">
        <x:v>En 1584 figura entre los hijos de Fernando Fernández de Trelles; el padrón de 1590 vuelve a llamarlo «su hijo» y lo califica como hijodalgo notorio del solar de Trelles.</x:v>
      </x:c>
      <x:c r="K108" s="68" t="str">
        <x:v>Buscar protocolos y padrones posteriores para fijar apellido completo y descendencia.</x:v>
      </x:c>
      <x:c r="L108" s="68" t="str">
        <x:v>Hijo de Fernando Fernández de Trelles (ID 89). Hermano de Suero González de Trelles (ID 79) y de IDs 106, 108–110.</x:v>
      </x:c>
      <x:c r="M108" s="68" t="str">
        <x:v>ALTA</x:v>
      </x:c>
      <x:c r="N108" s="12" t="str">
        <x:v>ENLAZADO</x:v>
      </x:c>
    </x:row>
    <x:row r="109">
      <x:c r="A109" s="68" t="n">
        <x:v>108</x:v>
      </x:c>
      <x:c r="B109" s="68" t="str">
        <x:v>Domingo Pérez de Trelles</x:v>
      </x:c>
      <x:c r="C109" s="68" t="str"/>
      <x:c r="D109" s="68" t="str">
        <x:v>Trelles (Asturias)</x:v>
      </x:c>
      <x:c r="E109" s="68" t="str"/>
      <x:c r="F109" s="68" t="str"/>
      <x:c r="G109" s="68" t="str">
        <x:v>NUEVA 6ª pasada: hijo documentado</x:v>
      </x:c>
      <x:c r="H109" s="68" t="str">
        <x:v>https://dialnet.unirioja.es/descarga/articulo/3016531.pdf</x:v>
      </x:c>
      <x:c r="I109" s="68" t="str"/>
      <x:c r="J109" s="68" t="str">
        <x:v>El padrón de 1584 lo incluye entre los hermanos e hijos de Fernando Fernández de Trelles; vuelve a figurar en el padrón de 1596 y en el de 1603 como hijodalgo notorio del solar de Trelles.</x:v>
      </x:c>
      <x:c r="K109" s="68" t="str">
        <x:v>Buscar matrimonio y descendencia en protocolos de Castropol/Trelles.</x:v>
      </x:c>
      <x:c r="L109" s="68" t="str">
        <x:v>Hijo de Fernando Fernández de Trelles (ID 89). Hermano de Suero González de Trelles (ID 79) y de IDs 106–107, 109–110.</x:v>
      </x:c>
      <x:c r="M109" s="68" t="str">
        <x:v>ALTA</x:v>
      </x:c>
      <x:c r="N109" s="12" t="str">
        <x:v>ENLAZADO</x:v>
      </x:c>
    </x:row>
    <x:row r="110">
      <x:c r="A110" s="68" t="n">
        <x:v>109</x:v>
      </x:c>
      <x:c r="B110" s="68" t="str">
        <x:v>Fernando Fernández de Trelles (hijo homónimo)</x:v>
      </x:c>
      <x:c r="C110" s="68" t="str"/>
      <x:c r="D110" s="68" t="str">
        <x:v>Trelles (Asturias)</x:v>
      </x:c>
      <x:c r="E110" s="68" t="str"/>
      <x:c r="F110" s="68" t="str"/>
      <x:c r="G110" s="68" t="str">
        <x:v>NUEVA 6ª pasada: hijo documentado; homónimo del padre</x:v>
      </x:c>
      <x:c r="H110" s="68" t="str">
        <x:v>https://dialnet.unirioja.es/descarga/articulo/3016531.pdf</x:v>
      </x:c>
      <x:c r="I110" s="68" t="str"/>
      <x:c r="J110" s="68" t="str">
        <x:v>El padrón de 1584 lo enumera como uno de los hijos de Fernando Fernández de Trelles. También aparece entre los hermanos en 1596 y en el padrón de 1603. Debe mantenerse separado de su padre homónimo (ID 89).</x:v>
      </x:c>
      <x:c r="K110" s="68" t="str">
        <x:v>Cruzar padrones con protocolos para evitar confusión padre/hijo.</x:v>
      </x:c>
      <x:c r="L110" s="68" t="str">
        <x:v>Hijo de Fernando Fernández de Trelles (ID 89). Hermano de Suero González de Trelles (ID 79) y de IDs 106–108, 110.</x:v>
      </x:c>
      <x:c r="M110" s="68" t="str">
        <x:v>ALTA</x:v>
      </x:c>
      <x:c r="N110" s="12" t="str">
        <x:v>ENLAZADO</x:v>
      </x:c>
    </x:row>
    <x:row r="111">
      <x:c r="A111" s="68" t="n">
        <x:v>110</x:v>
      </x:c>
      <x:c r="B111" s="68" t="str">
        <x:v>Marcos Fernández de Trelles</x:v>
      </x:c>
      <x:c r="C111" s="68" t="str"/>
      <x:c r="D111" s="68" t="str">
        <x:v>Trelles (Asturias)</x:v>
      </x:c>
      <x:c r="E111" s="68" t="str"/>
      <x:c r="F111" s="68" t="str"/>
      <x:c r="G111" s="68" t="str">
        <x:v>NUEVA 6ª pasada: hijo documentado</x:v>
      </x:c>
      <x:c r="H111" s="68" t="str">
        <x:v>https://dialnet.unirioja.es/descarga/articulo/3016531.pdf</x:v>
      </x:c>
      <x:c r="I111" s="68" t="str"/>
      <x:c r="J111" s="68" t="str">
        <x:v>Figura en el padrón de 1584 entre los hijos de Fernando Fernández de Trelles y reaparece en 1596 y 1603 como hijodalgo notorio del solar de Trelles.</x:v>
      </x:c>
      <x:c r="K111" s="68" t="str">
        <x:v>Buscar expediente eclesiástico o protocolos notariales para identificar su trayectoria.</x:v>
      </x:c>
      <x:c r="L111" s="68" t="str">
        <x:v>Hijo de Fernando Fernández de Trelles (ID 89). Hermano de Suero González de Trelles (ID 79) y de IDs 106–109.</x:v>
      </x:c>
      <x:c r="M111" s="68" t="str">
        <x:v>ALTA</x:v>
      </x:c>
      <x:c r="N111" s="12" t="str">
        <x:v>ENLAZADO</x:v>
      </x:c>
    </x:row>
    <x:row r="112">
      <x:c r="A112" s="68" t="n">
        <x:v>111</x:v>
      </x:c>
      <x:c r="B112" s="68" t="str">
        <x:v>Lucas Fernández Infanzón (esposo de María Álvarez, s. XVII)</x:v>
      </x:c>
      <x:c r="C112" s="68" t="str"/>
      <x:c r="D112" s="68" t="str">
        <x:v>Coaña / occidente de Asturias</x:v>
      </x:c>
      <x:c r="E112" s="68" t="str"/>
      <x:c r="F112" s="68" t="str"/>
      <x:c r="G112" s="68" t="str">
        <x:v>NUEVA 6ª pasada: matrimonio documentado; homónimo separado</x:v>
      </x:c>
      <x:c r="H112" s="68" t="str">
        <x:v>https://dialnet.unirioja.es/descarga/articulo/3016531.pdf</x:v>
      </x:c>
      <x:c r="I112" s="68" t="str"/>
      <x:c r="J112" s="68" t="str">
        <x:v>Las disposiciones testamentarias estudiadas por Gonzalo Anes indican que una hija de Suero González de Trelles y de su segunda esposa María Méndez Morán, llamada María, contrajo matrimonio con Lucas Fernández Infanzón. La escritura de dote se sitúa en Pumarín el 12/09/1623. Se separa del Lucas Fernández Infanzón ID 81, que pertenece a una generación anterior.</x:v>
      </x:c>
      <x:c r="K112" s="68" t="str">
        <x:v>Localizar la escritura de dote de 12/09/1623 para conocer padres y lugar de origen de Lucas.</x:v>
      </x:c>
      <x:c r="L112" s="68" t="str">
        <x:v>Esposo de María Álvarez de Trelles (ID 97). Yerno de Suero González de Trelles (ID 79) y María Méndez Morán de Navia (ID 95).</x:v>
      </x:c>
      <x:c r="M112" s="68" t="str">
        <x:v>ALTA para matrimonio / MEDIA para identidad completa</x:v>
      </x:c>
      <x:c r="N112" s="12" t="str">
        <x:v>ENLAZADO</x:v>
      </x:c>
    </x:row>
    <x:row r="113">
      <x:c r="A113" s="71" t="n">
        <x:v>112</x:v>
      </x:c>
      <x:c r="B113" s="71" t="str">
        <x:v>Suero González de Trelles (posible padre de Fernando Fernández)</x:v>
      </x:c>
      <x:c r="C113" s="71" t="str"/>
      <x:c r="D113" s="71" t="str">
        <x:v>Pumarín (Asturias)</x:v>
      </x:c>
      <x:c r="E113" s="71" t="str"/>
      <x:c r="F113" s="71" t="str"/>
      <x:c r="G113" s="74" t="str">
        <x:v>NUEVA 7ª pasada: filiación alternativa en Colección Salazar y Castro</x:v>
      </x:c>
      <x:c r="H113" s="74" t="str">
        <x:v>https://es.scribd.com/document/705768310/Dialnet-UnaInvestigacionGenealogica-3016531</x:v>
      </x:c>
      <x:c r="I113" s="74" t="str">
        <x:v>https://www.bne.es/es/Micrositios/Guias/Genealogia/Documentacion_archivistica/coleccion_salazar/</x:v>
      </x:c>
      <x:c r="J113" s="74" t="str">
        <x:v>8ª pasada — matización: Gonzalo Anes reproduce una noticia de la Colección Salazar y Castro D-45 que hace a Fernando Fernández de Trelles hijo de un Suero González de Trelles natural de Pumarín; en otras partes del mismo estudio reproduce declaraciones y una escritura de dote que sitúan a Lope Méndez de Trelles «el de Villar» como padre de Fernando. El propio material secundario resulta internamente conflictivo. Se mantiene esta entrada como hipótesis alternativa hasta consultar los documentos originales.</x:v>
      </x:c>
      <x:c r="K113" s="74" t="str">
        <x:v>Consultar directamente RAH, Colección Salazar y Castro, D-45, fols. 174-181, y comparar con AHN Órdenes Militares, Santiago, 1680-8220.</x:v>
      </x:c>
      <x:c r="L113" s="74" t="str">
        <x:v>Posible padre de Fernando Fernández de Trelles (ID 89). Compite documentalmente con Lope Méndez de Trelles (ID 91) como padre atribuido.</x:v>
      </x:c>
      <x:c r="M113" s="74" t="str">
        <x:v>MEDIA-BAJA hasta consultar D-45 y la escritura de dote original</x:v>
      </x:c>
      <x:c r="N113" s="12" t="str">
        <x:v>ENLAZADO CON HIPÓTESIS</x:v>
      </x:c>
    </x:row>
    <x:row r="114">
      <x:c r="A114" s="71" t="n">
        <x:v>113</x:v>
      </x:c>
      <x:c r="B114" s="71" t="str">
        <x:v>Marcos González de Trelles</x:v>
      </x:c>
      <x:c r="C114" s="71" t="str"/>
      <x:c r="D114" s="71" t="str">
        <x:v>Trelles (Asturias)</x:v>
      </x:c>
      <x:c r="E114" s="71" t="str"/>
      <x:c r="F114" s="71" t="str"/>
      <x:c r="G114" s="71" t="str">
        <x:v>NUEVA 7ª pasada: hijo explícito en padrones de 1620-1632</x:v>
      </x:c>
      <x:c r="H114" s="71" t="str">
        <x:v>https://es.scribd.com/document/705768310/Dialnet-UnaInvestigacionGenealogica-3016531</x:v>
      </x:c>
      <x:c r="I114" s="71" t="str"/>
      <x:c r="J114" s="71" t="str">
        <x:v>Los padrones de 1620, 1626 y 1632 lo incluyen entre los hijos legítimos de Suero González de Trelles y María Alonso de Coaña Infanzón. En 1632 figura como clérigo y cura de Serandinas.</x:v>
      </x:c>
      <x:c r="K114" s="71" t="str">
        <x:v>Consultar padrones originales y expedientes eclesiásticos de Serandinas.</x:v>
      </x:c>
      <x:c r="L114" s="71" t="str">
        <x:v>Hijo de Suero González de Trelles (ID 79) y María Alfonso/Alonso Infanzón (ID 80). Hermano de Catalina (ID 83), Lucas (ID 100), Alonso (ID 98), etc.</x:v>
      </x:c>
      <x:c r="M114" s="71" t="str">
        <x:v>ALTA</x:v>
      </x:c>
      <x:c r="N114" s="12" t="str">
        <x:v>ENLAZADO</x:v>
      </x:c>
    </x:row>
    <x:row r="115">
      <x:c r="A115" s="71" t="n">
        <x:v>114</x:v>
      </x:c>
      <x:c r="B115" s="71" t="str">
        <x:v>Diego García de Trelles</x:v>
      </x:c>
      <x:c r="C115" s="71" t="str"/>
      <x:c r="D115" s="71" t="str">
        <x:v>Trelles (Asturias)</x:v>
      </x:c>
      <x:c r="E115" s="71" t="str"/>
      <x:c r="F115" s="71" t="str"/>
      <x:c r="G115" s="71" t="str">
        <x:v>NUEVA 7ª pasada: hijo explícito en padrones de 1620-1638</x:v>
      </x:c>
      <x:c r="H115" s="71" t="str">
        <x:v>https://es.scribd.com/document/705768310/Dialnet-UnaInvestigacionGenealogica-3016531</x:v>
      </x:c>
      <x:c r="I115" s="71" t="str"/>
      <x:c r="J115" s="71" t="str">
        <x:v>Aparece en los padrones de 1620, 1626 y 1632 como hijo legítimo de Suero González de Trelles y María Alonso Infanzón. En 1638 fue empadronador por el estado noble.</x:v>
      </x:c>
      <x:c r="K115" s="71" t="str">
        <x:v>Buscar matrimonio, testamento y posibles hijos en protocolos de Castropol/Navia.</x:v>
      </x:c>
      <x:c r="L115" s="71" t="str">
        <x:v>Hijo de IDs 79 y 80. Hermano de Catalina (ID 83), Lucas (ID 100), Alonso (ID 98), Marcos (ID 113), Juan García y Gonzalo.</x:v>
      </x:c>
      <x:c r="M115" s="71" t="str">
        <x:v>ALTA</x:v>
      </x:c>
      <x:c r="N115" s="12" t="str">
        <x:v>ENLAZADO</x:v>
      </x:c>
    </x:row>
    <x:row r="116">
      <x:c r="A116" s="71" t="n">
        <x:v>115</x:v>
      </x:c>
      <x:c r="B116" s="71" t="str">
        <x:v>Gonzalo González de Trelles</x:v>
      </x:c>
      <x:c r="C116" s="71" t="str"/>
      <x:c r="D116" s="71" t="str">
        <x:v>Trelles / Villacondide (Asturias)</x:v>
      </x:c>
      <x:c r="E116" s="71" t="str"/>
      <x:c r="F116" s="71" t="str"/>
      <x:c r="G116" s="71" t="str">
        <x:v>NUEVA 7ª pasada: hijo explícito en padrones de 1620-1644</x:v>
      </x:c>
      <x:c r="H116" s="71" t="str">
        <x:v>https://es.scribd.com/document/705768310/Dialnet-UnaInvestigacionGenealogica-3016531</x:v>
      </x:c>
      <x:c r="I116" s="71" t="str"/>
      <x:c r="J116" s="71" t="str">
        <x:v>Los padrones de 1620, 1626 y 1632 lo hacen hijo legítimo de Suero González de Trelles y María Alonso Infanzón. En el padrón de Villacondide de 1644 figura como clérigo e hijodalgo del solar de Trelles.</x:v>
      </x:c>
      <x:c r="K116" s="71" t="str">
        <x:v>Consultar libros eclesiásticos de Villacondide y Trelles.</x:v>
      </x:c>
      <x:c r="L116" s="71" t="str">
        <x:v>Hijo de IDs 79 y 80. Hermano de Catalina (ID 83), Lucas (ID 100), Alonso (ID 98), Marcos (ID 113), Diego García (ID 114) y Juan García.</x:v>
      </x:c>
      <x:c r="M116" s="71" t="str">
        <x:v>ALTA</x:v>
      </x:c>
      <x:c r="N116" s="12" t="str">
        <x:v>ENLAZADO</x:v>
      </x:c>
    </x:row>
    <x:row r="117">
      <x:c r="A117" s="71" t="n">
        <x:v>116</x:v>
      </x:c>
      <x:c r="B117" s="71" t="str">
        <x:v>Dominga López de Trelles</x:v>
      </x:c>
      <x:c r="C117" s="71" t="str"/>
      <x:c r="D117" s="71" t="str">
        <x:v>Villacondide / Trelles (Asturias)</x:v>
      </x:c>
      <x:c r="E117" s="71" t="str"/>
      <x:c r="F117" s="71" t="str"/>
      <x:c r="G117" s="71" t="str">
        <x:v>NUEVA 7ª pasada: esposa y madre documentada en libros sacramentales</x:v>
      </x:c>
      <x:c r="H117" s="71" t="str">
        <x:v>https://es.scribd.com/document/705768310/Dialnet-UnaInvestigacionGenealogica-3016531</x:v>
      </x:c>
      <x:c r="I117" s="71" t="str"/>
      <x:c r="J117" s="71" t="str">
        <x:v>Esposa de García Morán de Trelles. Los libros sacramentales de Villacondide la documentan como madre de varios hijos. La misma investigación identifica a Alonso López de Trelles como padre de Dominga y de Gonzalo González (clérigo), aunque la red de apellidos exige revisar originales.</x:v>
      </x:c>
      <x:c r="K117" s="71" t="str">
        <x:v>Revisar matrimonio de García Morán y Dominga López y bautismos de sus hijos en Villacondide.</x:v>
      </x:c>
      <x:c r="L117" s="71" t="str">
        <x:v>Esposa de García Morán de Trelles (ID 96). Madre de Alonso Morán (ID 118), García (ID 119), María (ID 120) y otros hijos.</x:v>
      </x:c>
      <x:c r="M117" s="71" t="str">
        <x:v>ALTA</x:v>
      </x:c>
      <x:c r="N117" s="12" t="str">
        <x:v>ENLAZADO</x:v>
      </x:c>
    </x:row>
    <x:row r="118">
      <x:c r="A118" s="71" t="n">
        <x:v>117</x:v>
      </x:c>
      <x:c r="B118" s="71" t="str">
        <x:v>Alonso López de Trelles (padre de Dominga)</x:v>
      </x:c>
      <x:c r="C118" s="71" t="str"/>
      <x:c r="D118" s="71" t="str">
        <x:v>Trelles / Villacondide (Asturias)</x:v>
      </x:c>
      <x:c r="E118" s="71" t="str"/>
      <x:c r="F118" s="71" t="str"/>
      <x:c r="G118" s="71" t="str">
        <x:v>NUEVA 7ª pasada: padre documentado por libros sacramentales</x:v>
      </x:c>
      <x:c r="H118" s="77" t="str">
        <x:v>https://es.scribd.com/document/705768310/Dialnet-UnaInvestigacionGenealogica-3016531</x:v>
      </x:c>
      <x:c r="I118" s="77" t="str"/>
      <x:c r="J118" s="77" t="str">
        <x:v>9ª pasada: el testamento citado por Gonzalo Anes confirma que Alonso López de Trelles estuvo casado con Teresa García de Luera y Trelles, llamada en algunos documentos Teresa Castrillón Valledor. Fueron padres de Dominga López de Trelles y de otros hijos.</x:v>
      </x:c>
      <x:c r="K118" s="77" t="str">
        <x:v>Cruzar la partida de bautismo de María (1639) con el padrón de 1620 y el expediente familiar.</x:v>
      </x:c>
      <x:c r="L118" s="77" t="str">
        <x:v>Padre de Dominga López de Trelles (ID 116). Esposo de Teresa García de Luera y Trelles / Teresa Castrillón Valledor (ID 135).</x:v>
      </x:c>
      <x:c r="M118" s="77" t="str">
        <x:v>ALTA</x:v>
      </x:c>
      <x:c r="N118" s="12" t="str">
        <x:v>ENLAZADO</x:v>
      </x:c>
    </x:row>
    <x:row r="119">
      <x:c r="A119" s="71" t="n">
        <x:v>118</x:v>
      </x:c>
      <x:c r="B119" s="71" t="str">
        <x:v>Alonso Morán de Trelles</x:v>
      </x:c>
      <x:c r="C119" s="71" t="str">
        <x:v>antes del 25/02/1636</x:v>
      </x:c>
      <x:c r="D119" s="71" t="str">
        <x:v>Villacondide (Asturias)</x:v>
      </x:c>
      <x:c r="E119" s="83" t="str">
        <x:v>29/11/1697</x:v>
      </x:c>
      <x:c r="F119" s="134" t="str"/>
      <x:c r="G119" s="134" t="str">
        <x:v>NUEVA 7ª pasada: bautismo documentado</x:v>
      </x:c>
      <x:c r="H119" s="134" t="str">
        <x:v>https://es.scribd.com/document/705768310/Dialnet-UnaInvestigacionGenealogica-3016531</x:v>
      </x:c>
      <x:c r="I119" s="134" t="str"/>
      <x:c r="J119" s="134" t="str">
        <x:v>11ª pasada: además de su bautismo del 25/02/1636, se localiza su defunción el 29/11/1697. Fue enterrado el día 30 en Villacondide. Su viuda era Lucía López de Aguiar. Fundó una misa de aniversario perpetuo de San Miguel y dejó llamamientos sucesorios a varios de sus hijos. 18ª pasada — CORRECCIÓN: La fecha 29/11/1697 consta en el libro de difuntos de Villacondide y el entierro fue allí el día 30; el texto citado no expresa literalmente el lugar físico del fallecimiento.</x:v>
      </x:c>
      <x:c r="K119" s="83" t="str">
        <x:v>Consultar libro de bautizados de Villacondide, fol. 27v, para determinar si consta día de nacimiento.</x:v>
      </x:c>
      <x:c r="L119" s="83" t="str">
        <x:v>Hijo de García Morán de Trelles (ID 96) y Dominga López de Trelles (ID 116). Esposo de Lucía López de Aguiar (ID 155).</x:v>
      </x:c>
      <x:c r="M119" s="83" t="str">
        <x:v>ALTA</x:v>
      </x:c>
      <x:c r="N119" s="12" t="str">
        <x:v>ENLAZADO</x:v>
      </x:c>
    </x:row>
    <x:row r="120">
      <x:c r="A120" s="71" t="n">
        <x:v>119</x:v>
      </x:c>
      <x:c r="B120" s="71" t="str">
        <x:v>García Morán de Trelles (hijo)</x:v>
      </x:c>
      <x:c r="C120" s="71" t="str">
        <x:v>antes del 27/09/1637</x:v>
      </x:c>
      <x:c r="D120" s="71" t="str">
        <x:v>Villacondide (Asturias)</x:v>
      </x:c>
      <x:c r="E120" s="71" t="str"/>
      <x:c r="F120" s="71" t="str"/>
      <x:c r="G120" s="71" t="str">
        <x:v>NUEVA 7ª pasada: bautismo documentado</x:v>
      </x:c>
      <x:c r="H120" s="71" t="str">
        <x:v>https://es.scribd.com/document/705768310/Dialnet-UnaInvestigacionGenealogica-3016531</x:v>
      </x:c>
      <x:c r="I120" s="71" t="str"/>
      <x:c r="J120" s="71" t="str">
        <x:v>Hijo de García Morán de Trelles y Dominga López de Trelles. Bautizado en Villacondide el 27/09/1637. Debe mantenerse separado de su padre homónimo.</x:v>
      </x:c>
      <x:c r="K120" s="71" t="str">
        <x:v>Consultar libro de bautizados de Villacondide para fecha de nacimiento y padrinos completos.</x:v>
      </x:c>
      <x:c r="L120" s="71" t="str">
        <x:v>Hijo de IDs 96 y 116. Hermano de Alonso (ID 118) y María (ID 120).</x:v>
      </x:c>
      <x:c r="M120" s="71" t="str">
        <x:v>ALTA</x:v>
      </x:c>
      <x:c r="N120" s="12" t="str">
        <x:v>ENLAZADO</x:v>
      </x:c>
    </x:row>
    <x:row r="121">
      <x:c r="A121" s="71" t="n">
        <x:v>120</x:v>
      </x:c>
      <x:c r="B121" s="71" t="str">
        <x:v>María Morán de Trelles</x:v>
      </x:c>
      <x:c r="C121" s="71" t="str">
        <x:v>antes del 28/04/1639</x:v>
      </x:c>
      <x:c r="D121" s="71" t="str">
        <x:v>Villacondide (Asturias)</x:v>
      </x:c>
      <x:c r="E121" s="71" t="str"/>
      <x:c r="F121" s="71" t="str"/>
      <x:c r="G121" s="71" t="str">
        <x:v>NUEVA 7ª pasada: bautismo documentado</x:v>
      </x:c>
      <x:c r="H121" s="71" t="str">
        <x:v>https://es.scribd.com/document/705768310/Dialnet-UnaInvestigacionGenealogica-3016531</x:v>
      </x:c>
      <x:c r="I121" s="71" t="str"/>
      <x:c r="J121" s="71" t="str">
        <x:v>Hija de García Morán de Trelles y Dominga López de Trelles. Bautizada en Villacondide el 28/04/1639. Fue apadrinada por Gonzalo González, clérigo de menores, y Antonia, hija de Alonso López de Trelles.</x:v>
      </x:c>
      <x:c r="K121" s="71" t="str">
        <x:v>Consultar libro de bautizados para fecha exacta de nacimiento y confirmar parentescos de padrinos.</x:v>
      </x:c>
      <x:c r="L121" s="71" t="str">
        <x:v>Hija de IDs 96 y 116. Hermana de Alonso (ID 118) y García (ID 119).</x:v>
      </x:c>
      <x:c r="M121" s="71" t="str">
        <x:v>ALTA</x:v>
      </x:c>
      <x:c r="N121" s="12" t="str">
        <x:v>ENLAZADO</x:v>
      </x:c>
    </x:row>
    <x:row r="122">
      <x:c r="A122" s="74" t="n">
        <x:v>121</x:v>
      </x:c>
      <x:c r="B122" s="74" t="str">
        <x:v>Gómez Ares de Trelles</x:v>
      </x:c>
      <x:c r="C122" s="74" t="str"/>
      <x:c r="D122" s="74" t="str">
        <x:v>Trelles (Asturias)</x:v>
      </x:c>
      <x:c r="E122" s="74" t="str"/>
      <x:c r="F122" s="74" t="str"/>
      <x:c r="G122" s="74" t="str">
        <x:v>NUEVA 8ª pasada: documentado desde el primer padrón conservado (1524)</x:v>
      </x:c>
      <x:c r="H122" s="74" t="str">
        <x:v>https://dialnet.unirioja.es/descarga/articulo/3016531.pdf</x:v>
      </x:c>
      <x:c r="I122" s="74" t="str"/>
      <x:c r="J122" s="140" t="str">
        <x:v>15ª pasada: aparece un problema de homonimia. En 1554 Gómez Ares figura como clérigo; en 1572 el padrón enumera por separado «García Gómez, Gómez Ares y el clérigo Gómez Ares». Por tanto, en 1572 había al menos dos personas llamadas Gómez Ares. El Gómez Ares de 1524–1554 puede identificarse con el clérigo, pero el Gómez Ares seglar de 1572 es otra persona cuya filiación no se conoce. 20ª pasada: Trelles Villademoros identifica al padre de Catalina Suárez de Trelles como «Gómez Arias de Trelles». Por nombre, solar y cronología, el Gómez Ares documentado en 1524–1554 es un candidato plausible a ser la misma persona. La identificación NO es definitiva: Gonzalo Anes reproduce otra versión del testamento que solo dice «Arias de Trelles».</x:v>
      </x:c>
      <x:c r="K122" s="140" t="str">
        <x:v>Intentar consultar el testamento original de Benito Trelles y el padrón original de 1524 para decidir Gómez Ares/Gómez Arias/Arias.</x:v>
      </x:c>
      <x:c r="L122" s="140" t="str">
        <x:v>Posible padre de Catalina Suárez de Trelles (ID168) y posible identidad con Arias/Gómez Arias de Trelles (ID169).</x:v>
      </x:c>
      <x:c r="M122" s="140" t="str">
        <x:v>MEDIA</x:v>
      </x:c>
      <x:c r="N122" s="141" t="str">
        <x:v>ENLAZADO CON HIPÓTESIS</x:v>
      </x:c>
    </x:row>
    <x:row r="123">
      <x:c r="A123" s="74" t="n">
        <x:v>122</x:v>
      </x:c>
      <x:c r="B123" s="74" t="str">
        <x:v>García Gómez de Trelles</x:v>
      </x:c>
      <x:c r="C123" s="74" t="str"/>
      <x:c r="D123" s="74" t="str">
        <x:v>Trelles (Asturias)</x:v>
      </x:c>
      <x:c r="E123" s="74" t="str"/>
      <x:c r="F123" s="74" t="str"/>
      <x:c r="G123" s="74" t="str">
        <x:v>NUEVA 8ª pasada: documentado 1524–1554</x:v>
      </x:c>
      <x:c r="H123" s="74" t="str">
        <x:v>https://dialnet.unirioja.es/descarga/articulo/3016531.pdf</x:v>
      </x:c>
      <x:c r="I123" s="74" t="str"/>
      <x:c r="J123" s="109" t="str">
        <x:v>15ª pasada: García Gómez aparece en los padrones de 1524, 1530, 1536, 1542, 1554 y todavía en 1572. La continuidad durante casi medio siglo puede corresponder a una misma persona muy longeva o a dos homónimos. Ninguna de las transcripciones localizadas aporta padre, esposa o hijos, así que no se puede unir con seguridad a Gómez Ares ni a otra rama.</x:v>
      </x:c>
      <x:c r="K123" s="120" t="str">
        <x:v>16ª pasada: no aparece una filiación adicional en las fuentes abiertas. La continuidad 1524–1572 sigue sin permitir decidir si es una sola persona o dos homónimos.</x:v>
      </x:c>
      <x:c r="L123" s="120" t="str">
        <x:v>Miembro destacado del solar de Trelles; empadronador por el estado noble en 1524. Parentesco exacto no resuelto.</x:v>
      </x:c>
      <x:c r="M123" s="120" t="str">
        <x:v>ALTA persona / BAJA parentesco</x:v>
      </x:c>
      <x:c r="N123" s="121" t="str">
        <x:v>CANDIDATO NO ENLAZADO</x:v>
      </x:c>
    </x:row>
    <x:row r="124">
      <x:c r="A124" s="74" t="n">
        <x:v>123</x:v>
      </x:c>
      <x:c r="B124" s="109" t="str">
        <x:v>Álvaro / Alonso González de Trelles (hijo de Suero, padrón de 1524)</x:v>
      </x:c>
      <x:c r="C124" s="109" t="str"/>
      <x:c r="D124" s="109" t="str">
        <x:v>Trelles (Asturias)</x:v>
      </x:c>
      <x:c r="E124" s="109" t="str"/>
      <x:c r="F124" s="109" t="str"/>
      <x:c r="G124" s="109" t="str">
        <x:v>CORRECCIÓN 15ª pasada: el nombre aparece como Álvaro en una transcripción y Alonso en otra nota del mismo autor</x:v>
      </x:c>
      <x:c r="H124" s="109" t="str">
        <x:v>https://dialnet.unirioja.es/descarga/articulo/4151486.pdf</x:v>
      </x:c>
      <x:c r="I124" s="109" t="str">
        <x:v>https://dialnet.unirioja.es/descarga/articulo/3016531.pdf</x:v>
      </x:c>
      <x:c r="J124" s="109" t="str">
        <x:v>La página 797 de «Los Trelles de Mohías» transcribe el padrón de 1524 como «Álvaro, fijo de Suero González de Treles». Sin embargo, la nota 49 del mismo trabajo y «Una investigación genealógica» lo transcriben como «Alonso, hijo de Suero González de Trelles». La discrepancia está dentro de las propias publicaciones de Gonzalo Anes, por lo que no debe normalizarse el nombre hasta consultar el padrón original.</x:v>
      </x:c>
      <x:c r="K124" s="109" t="str">
        <x:v>Consultar el padrón original de 27/01/1524 conservado entre los padrones históricos de Castropol/Vegadeo para leer el nombre directamente.</x:v>
      </x:c>
      <x:c r="L124" s="109" t="str">
        <x:v>Hijo de Suero González de Trelles (ID 124). Posible conexión tradicional con Lope Díaz de Trelles (ID 132) a través de su padre, todavía no probada.</x:v>
      </x:c>
      <x:c r="M124" s="109" t="str">
        <x:v>ALTA filiación con Suero / BAJA-MEDIA conexión antigua</x:v>
      </x:c>
      <x:c r="N124" s="110" t="str">
        <x:v>ENLAZADO CON HIPÓTESIS</x:v>
      </x:c>
    </x:row>
    <x:row r="125">
      <x:c r="A125" s="74" t="n">
        <x:v>124</x:v>
      </x:c>
      <x:c r="B125" s="74" t="str">
        <x:v>Suero González de Trelles (padre de Alonso, activo antes de 1524)</x:v>
      </x:c>
      <x:c r="C125" s="74" t="str"/>
      <x:c r="D125" s="74" t="str">
        <x:v>Trelles / Pumarín (Asturias)</x:v>
      </x:c>
      <x:c r="E125" s="74" t="str">
        <x:v>antes o después de 1524 desconocido</x:v>
      </x:c>
      <x:c r="F125" s="74" t="str"/>
      <x:c r="G125" s="74" t="str">
        <x:v>NUEVA 8ª pasada: inferido por filiación explícita del padrón</x:v>
      </x:c>
      <x:c r="H125" s="74" t="str">
        <x:v>https://dialnet.unirioja.es/descarga/articulo/3016531.pdf</x:v>
      </x:c>
      <x:c r="I125" s="74" t="str"/>
      <x:c r="J125" s="156" t="str">
        <x:v>25ª pasada: se refuerza solo como HIPÓTESIS la posible equivalencia entre este Suero González, padre del hijo citado en el padrón de 1524, y el Suero González que la genealogía antigua hace hijo de Lope Díaz. No hay todavía un documento que identifique ambos Suero.</x:v>
      </x:c>
      <x:c r="K125" s="105" t="str">
        <x:v>Buscar un documento que mencione simultáneamente a Suero González con Fernando Fernández o con Alonso antes de 1530.</x:v>
      </x:c>
      <x:c r="L125" s="156" t="str">
        <x:v>Padre documentado de ID123; posible, no probado, hijo del Lope Díaz tradicional (ID132).</x:v>
      </x:c>
      <x:c r="M125" s="156" t="str">
        <x:v>BAJA-MEDIA</x:v>
      </x:c>
      <x:c r="N125" s="106" t="str">
        <x:v>ENLAZADO CON HIPÓTESIS</x:v>
      </x:c>
    </x:row>
    <x:row r="126">
      <x:c r="A126" s="74" t="n">
        <x:v>125</x:v>
      </x:c>
      <x:c r="B126" s="74" t="str">
        <x:v>García González de Pumarín</x:v>
      </x:c>
      <x:c r="C126" s="74" t="str"/>
      <x:c r="D126" s="74" t="str">
        <x:v>Pumarín, parroquia de Trelles (Asturias)</x:v>
      </x:c>
      <x:c r="E126" s="74" t="str"/>
      <x:c r="F126" s="74" t="str"/>
      <x:c r="G126" s="74" t="str">
        <x:v>NUEVA 8ª pasada: documentado en padrón de 1524</x:v>
      </x:c>
      <x:c r="H126" s="74" t="str">
        <x:v>https://dialnet.unirioja.es/descarga/articulo/3016531.pdf</x:v>
      </x:c>
      <x:c r="I126" s="74" t="str"/>
      <x:c r="J126" s="109" t="str">
        <x:v>15ª pasada: el padrón de 1524 los sitúa explícitamente como hermanos y a ambos como hijosdalgo notorios del solar de Trelles. No he encontrado en las fuentes indexadas otra aparición inequívoca de García González de Pumarín que aporte padres, esposa o descendencia.</x:v>
      </x:c>
      <x:c r="K126" s="120" t="str">
        <x:v>16ª pasada: búsquedas exactas y revisión de las transcripciones publicadas no aportan padres. El puente requiere protocolo, dote, testamento o padrón original.</x:v>
      </x:c>
      <x:c r="L126" s="120" t="str">
        <x:v>Hermano de Pedro de Pumarín (ID126). Pertenecen al solar de Trelles, pero no hay puente documental con la línea principal.</x:v>
      </x:c>
      <x:c r="M126" s="120" t="str">
        <x:v>ALTA hermandad / BAJA enlace principal</x:v>
      </x:c>
      <x:c r="N126" s="121" t="str">
        <x:v>CANDIDATO NO ENLAZADO</x:v>
      </x:c>
    </x:row>
    <x:row r="127">
      <x:c r="A127" s="74" t="n">
        <x:v>126</x:v>
      </x:c>
      <x:c r="B127" s="74" t="str">
        <x:v>Pedro de Pumarín (hermano de García González)</x:v>
      </x:c>
      <x:c r="C127" s="74" t="str"/>
      <x:c r="D127" s="74" t="str">
        <x:v>Pumarín, parroquia de Trelles (Asturias)</x:v>
      </x:c>
      <x:c r="E127" s="74" t="str"/>
      <x:c r="F127" s="74" t="str"/>
      <x:c r="G127" s="74" t="str">
        <x:v>NUEVA 8ª pasada: documentado en padrón de 1524</x:v>
      </x:c>
      <x:c r="H127" s="74" t="str">
        <x:v>https://dialnet.unirioja.es/descarga/articulo/3016531.pdf</x:v>
      </x:c>
      <x:c r="I127" s="74" t="str"/>
      <x:c r="J127" s="109" t="str">
        <x:v>15ª pasada: el único parentesco inequívoco localizado sigue siendo que era hermano de García González de Pumarín. No aparece un padre explícito en las transcripciones abiertas de los padrones.</x:v>
      </x:c>
      <x:c r="K127" s="120" t="str">
        <x:v>16ª pasada: búsquedas exactas y revisión de las transcripciones publicadas no aportan padres. El puente requiere protocolo, dote, testamento o padrón original.</x:v>
      </x:c>
      <x:c r="L127" s="120" t="str">
        <x:v>Hermano de García González de Pumarín (ID125). Pertenecen al solar de Trelles; conexión con la línea principal pendiente.</x:v>
      </x:c>
      <x:c r="M127" s="120" t="str">
        <x:v>ALTA hermandad / BAJA enlace principal</x:v>
      </x:c>
      <x:c r="N127" s="121" t="str">
        <x:v>CANDIDATO NO ENLAZADO</x:v>
      </x:c>
    </x:row>
    <x:row r="128">
      <x:c r="A128" s="74" t="n">
        <x:v>127</x:v>
      </x:c>
      <x:c r="B128" s="74" t="str">
        <x:v>Juan Alonso de Trelles</x:v>
      </x:c>
      <x:c r="C128" s="74" t="str"/>
      <x:c r="D128" s="74" t="str">
        <x:v>Trelles (Asturias)</x:v>
      </x:c>
      <x:c r="E128" s="74" t="str"/>
      <x:c r="F128" s="74" t="str"/>
      <x:c r="G128" s="74" t="str">
        <x:v>NUEVA 8ª pasada: documentado en padrón de 1542</x:v>
      </x:c>
      <x:c r="H128" s="74" t="str">
        <x:v>https://dialnet.unirioja.es/descarga/articulo/3016531.pdf</x:v>
      </x:c>
      <x:c r="I128" s="74" t="str"/>
      <x:c r="J128" s="105" t="str">
        <x:v>14ª pasada: el padrón de 1542 llama a Juan Alonso de Trelles hijodalgo de los solares de Luera, Riego y Tineo. En 1554 aparece Juan de Luera con la misma calificación, y en 1638 un Juan Alonso de Lueyra declara la misma hidalguía «conforme se halló en el padrón de 1554 su abuelo y bisabuelo». Esto sitúa al Juan Alonso de 1542 dentro o muy cerca de la rama Luera que desemboca en Teresa García de Luera y Trelles (ID135), aunque la secuencia exacta abuelo/bisabuelo no está resuelta.</x:v>
      </x:c>
      <x:c r="K128" s="105" t="str">
        <x:v>Reconstruir los Juan Alonso/Juan de Luera de 1542, 1554 y 1638 para fijar las dos generaciones intermedias.</x:v>
      </x:c>
      <x:c r="L128" s="105" t="str">
        <x:v>Probable miembro ancestral de la rama Luera relacionada con Teresa García de Luera y Trelles (ID135). No se conoce aún el grado exacto.</x:v>
      </x:c>
      <x:c r="M128" s="105" t="str">
        <x:v>MEDIA</x:v>
      </x:c>
      <x:c r="N128" s="106" t="str">
        <x:v>ENLAZADO CON HIPÓTESIS</x:v>
      </x:c>
    </x:row>
    <x:row r="129">
      <x:c r="A129" s="74" t="n">
        <x:v>128</x:v>
      </x:c>
      <x:c r="B129" s="74" t="str">
        <x:v>Fernando Fernández de Pumarín</x:v>
      </x:c>
      <x:c r="C129" s="74" t="str"/>
      <x:c r="D129" s="74" t="str">
        <x:v>Pumarín, parroquia de Trelles (Asturias)</x:v>
      </x:c>
      <x:c r="E129" s="74" t="str"/>
      <x:c r="F129" s="74" t="str"/>
      <x:c r="G129" s="74" t="str">
        <x:v>NUEVA 8ª pasada: documentado en padrón de 1554</x:v>
      </x:c>
      <x:c r="H129" s="74" t="str">
        <x:v>https://dialnet.unirioja.es/descarga/articulo/3016531.pdf</x:v>
      </x:c>
      <x:c r="I129" s="74" t="str"/>
      <x:c r="J129" s="74" t="str">
        <x:v>El padrón de 1554 lo califica como hijodalgo notorio de la casa y solar conocido de Trelles. El nombre y el lugar lo convierten en candidato a relacionarse con la línea de Fernando Fernández de Trelles, pero no se debe fusionar sin el asiento completo.</x:v>
      </x:c>
      <x:c r="K129" s="74" t="str">
        <x:v>Comparar padrón de 1554 con los de 1578/1584 y con escrituras de Pumarín.</x:v>
      </x:c>
      <x:c r="L129" s="74" t="str">
        <x:v>Posible relación con Fernando Fernández de Trelles (ID 89), pero no se ha probado identidad ni parentesco.</x:v>
      </x:c>
      <x:c r="M129" s="74" t="str">
        <x:v>MEDIA como candidato / ALTA como persona documentada</x:v>
      </x:c>
      <x:c r="N129" s="12" t="str">
        <x:v>ENLAZADO CON HIPÓTESIS</x:v>
      </x:c>
    </x:row>
    <x:row r="130">
      <x:c r="A130" s="74" t="n">
        <x:v>129</x:v>
      </x:c>
      <x:c r="B130" s="74" t="str">
        <x:v>Diego García de Trelles (tradición genealógica)</x:v>
      </x:c>
      <x:c r="C130" s="74" t="str"/>
      <x:c r="D130" s="156" t="str">
        <x:v>Trelles / Coaña (Asturias) [tradición]</x:v>
      </x:c>
      <x:c r="E130" s="156" t="str">
        <x:v>1385 (tradición)</x:v>
      </x:c>
      <x:c r="F130" s="156" t="str">
        <x:v>Aljubarrota (Portugal) [tradición]</x:v>
      </x:c>
      <x:c r="G130" s="74" t="str">
        <x:v>NUEVA 8ª pasada: antepasado tradicional NO probado</x:v>
      </x:c>
      <x:c r="H130" s="74" t="str">
        <x:v>https://dialnet.unirioja.es/descarga/articulo/3016531.pdf</x:v>
      </x:c>
      <x:c r="I130" s="156" t="str">
        <x:v>https://archive.org/stream/diccionariohist01pascgoog/diccionariohist01pascgoog_djvu.txt</x:v>
      </x:c>
      <x:c r="J130" s="156" t="str">
        <x:v>25ª pasada: el Diccionario histórico-genealógico del siglo XIX presenta a Diego García de Trelles como señor de la casa de Trelles, activo bajo Juan I y muerto en la batalla de Aljubarrota en 1385. Gonzalo Anes cita esta tradición pero advierte que la cadena medieval no está demostrada con documentación primaria.</x:v>
      </x:c>
      <x:c r="K130" s="74" t="str">
        <x:v>No enlazar como rama probada salvo aparición en una fuente primaria medieval independiente.</x:v>
      </x:c>
      <x:c r="L130" s="156" t="str">
        <x:v>Tradicionalmente padre de Mendo Díaz de Trelles (ID130) y origen de la cadena medieval Trelles.</x:v>
      </x:c>
      <x:c r="M130" s="156" t="str">
        <x:v>MUY BAJA / tradición genealógica</x:v>
      </x:c>
      <x:c r="N130" s="102" t="str">
        <x:v>ENLAZADO CON HIPÓTESIS</x:v>
      </x:c>
    </x:row>
    <x:row r="131">
      <x:c r="A131" s="74" t="n">
        <x:v>130</x:v>
      </x:c>
      <x:c r="B131" s="74" t="str">
        <x:v>Mendo Díaz de Trelles (tradición genealógica)</x:v>
      </x:c>
      <x:c r="C131" s="74" t="str">
        <x:v>c. 1380 ? (estimación de autor moderno)</x:v>
      </x:c>
      <x:c r="D131" s="156" t="str">
        <x:v>Trelles / Coaña (Asturias) [tradición]</x:v>
      </x:c>
      <x:c r="E131" s="74" t="str"/>
      <x:c r="F131" s="74" t="str"/>
      <x:c r="G131" s="74" t="str">
        <x:v>NUEVA 8ª pasada: antepasado tradicional NO probado</x:v>
      </x:c>
      <x:c r="H131" s="74" t="str">
        <x:v>https://dialnet.unirioja.es/descarga/articulo/3016531.pdf</x:v>
      </x:c>
      <x:c r="I131" s="156" t="str">
        <x:v>https://archive.org/stream/diccionariohist01pascgoog/diccionariohist01pascgoog_djvu.txt</x:v>
      </x:c>
      <x:c r="J131" s="156" t="str">
        <x:v>25ª pasada: la genealogía decimonónica lo sitúa como hijo de Diego García de Trelles y padre de Garci Sánchez. No se ha encontrado una fuente medieval primaria independiente que confirme esta filiación.</x:v>
      </x:c>
      <x:c r="K131" s="74" t="str">
        <x:v>Buscar menciones independientes en documentación medieval del occidente de Asturias.</x:v>
      </x:c>
      <x:c r="L131" s="156" t="str">
        <x:v>Tradicionalmente hijo de Diego García de Trelles (ID129) y padre de Garci Sánchez de Trelles (ID131).</x:v>
      </x:c>
      <x:c r="M131" s="156" t="str">
        <x:v>MUY BAJA / tradición genealógica</x:v>
      </x:c>
      <x:c r="N131" s="102" t="str">
        <x:v>ENLAZADO CON HIPÓTESIS</x:v>
      </x:c>
    </x:row>
    <x:row r="132">
      <x:c r="A132" s="74" t="n">
        <x:v>131</x:v>
      </x:c>
      <x:c r="B132" s="74" t="str">
        <x:v>Garci Sánchez de Trelles (tradición genealógica)</x:v>
      </x:c>
      <x:c r="C132" s="74" t="str">
        <x:v>c. 1405–1420 ? (estimación)</x:v>
      </x:c>
      <x:c r="D132" s="156" t="str">
        <x:v>Castro de Pumarín, Trelles / Coaña (Asturias) [tradición]</x:v>
      </x:c>
      <x:c r="E132" s="74" t="str"/>
      <x:c r="F132" s="74" t="str"/>
      <x:c r="G132" s="74" t="str">
        <x:v>NUEVA 8ª pasada: antepasado tradicional NO probado</x:v>
      </x:c>
      <x:c r="H132" s="74" t="str">
        <x:v>https://dialnet.unirioja.es/descarga/articulo/3016531.pdf</x:v>
      </x:c>
      <x:c r="I132" s="156" t="str">
        <x:v>https://archive.org/stream/diccionariohist01pascgoog/diccionariohist01pascgoog_djvu.txt</x:v>
      </x:c>
      <x:c r="J132" s="156" t="str">
        <x:v>25ª pasada: el diccionario genealógico dice que Garci Sánchez de Trelles hizo solar y casa en el Castro de Pumarín y que le sucedió su hijo Lope Díaz de Trelles. Gonzalo Anes señala que esta secuencia antigua no está fundamentada con documentación medieval conocida.</x:v>
      </x:c>
      <x:c r="K132" s="74" t="str">
        <x:v>No usar como conexión probada; buscar documentación patrimonial de Pumarín del siglo XV.</x:v>
      </x:c>
      <x:c r="L132" s="156" t="str">
        <x:v>Tradicionalmente hijo de Mendo Díaz (ID130) y padre de Lope Díaz de Trelles (ID132).</x:v>
      </x:c>
      <x:c r="M132" s="156" t="str">
        <x:v>MUY BAJA / tradición genealógica</x:v>
      </x:c>
      <x:c r="N132" s="102" t="str">
        <x:v>ENLAZADO CON HIPÓTESIS</x:v>
      </x:c>
    </x:row>
    <x:row r="133">
      <x:c r="A133" s="74" t="n">
        <x:v>132</x:v>
      </x:c>
      <x:c r="B133" s="74" t="str">
        <x:v>Lope Díaz de Trelles (tradición genealógica)</x:v>
      </x:c>
      <x:c r="C133" s="74" t="str">
        <x:v>c. 1445 ? (estimación)</x:v>
      </x:c>
      <x:c r="D133" s="156" t="str">
        <x:v>Pumarín / Trelles, Coaña (Asturias) [tradición]</x:v>
      </x:c>
      <x:c r="E133" s="74" t="str"/>
      <x:c r="F133" s="74" t="str"/>
      <x:c r="G133" s="74" t="str">
        <x:v>NUEVA 8ª pasada: antepasado tradicional NO probado</x:v>
      </x:c>
      <x:c r="H133" s="74" t="str">
        <x:v>https://dialnet.unirioja.es/descarga/articulo/3016531.pdf</x:v>
      </x:c>
      <x:c r="I133" s="156" t="str">
        <x:v>https://archive.org/stream/diccionariohist01pascgoog/diccionariohist01pascgoog_djvu.txt</x:v>
      </x:c>
      <x:c r="J133" s="156" t="str">
        <x:v>25ª pasada: la genealogía antigua hace a Lope Díaz sucesor de Garci Sánchez en el solar de Pumarín y padre de un Suero González de Trelles. La propia revisión de Gonzalo Anes considera no fundamentada documentalmente la secuencia de descendientes medievales hasta Lope Díaz.</x:v>
      </x:c>
      <x:c r="K133" s="74" t="str">
        <x:v>Buscar escrituras de propiedad, foros o pleitos del siglo XV.</x:v>
      </x:c>
      <x:c r="L133" s="156" t="str">
        <x:v>Tradicionalmente hijo de Garci Sánchez (ID131) y padre de un Suero González de Trelles, posiblemente relacionado con ID124.</x:v>
      </x:c>
      <x:c r="M133" s="156" t="str">
        <x:v>MUY BAJA / tradición genealógica</x:v>
      </x:c>
      <x:c r="N133" s="102" t="str">
        <x:v>ENLAZADO CON HIPÓTESIS</x:v>
      </x:c>
    </x:row>
    <x:row r="134">
      <x:c r="A134" s="77" t="n">
        <x:v>133</x:v>
      </x:c>
      <x:c r="B134" s="77" t="str">
        <x:v>Rodrigo Díaz de Trelles</x:v>
      </x:c>
      <x:c r="C134" s="77" t="str"/>
      <x:c r="D134" s="77" t="str">
        <x:v>Asturias occidental</x:v>
      </x:c>
      <x:c r="E134" s="77" t="str"/>
      <x:c r="F134" s="77" t="str"/>
      <x:c r="G134" s="77" t="str">
        <x:v>NUEVA 9ª pasada: antepasado tradicional de Teresa del Río</x:v>
      </x:c>
      <x:c r="H134" s="77" t="str">
        <x:v>https://dialnet.unirioja.es/descarga/articulo/4151486.pdf</x:v>
      </x:c>
      <x:c r="I134" s="77" t="str">
        <x:v>https://idus.us.es/server/api/core/bitstreams/4d5a11bd-b8ae-4c90-b1c9-2c58368d1a8c/content</x:v>
      </x:c>
      <x:c r="J134" s="77" t="str">
        <x:v>La genealogía de Trelles Villademoros, reproducida por Gonzalo Anes, lo hace padre de Teresa Trelles del Río y Valledor. Al tratarse de una generación anterior al arranque documental sólido de 1524, se mantiene como tradición genealógica y no como filiación plenamente probada.</x:v>
      </x:c>
      <x:c r="K134" s="77" t="str">
        <x:v>Buscar escrituras de Pumarín/Trelles anteriores a 1524, dotes y documentación Valledor.</x:v>
      </x:c>
      <x:c r="L134" s="77" t="str">
        <x:v>Padre tradicional de Teresa Díaz/Trelles del Río y Valledor (ID 90). Esposo de Ana Valledor (ID 134).</x:v>
      </x:c>
      <x:c r="M134" s="77" t="str">
        <x:v>BAJA-MEDIA / tradición genealógica</x:v>
      </x:c>
      <x:c r="N134" s="12" t="str">
        <x:v>ENLAZADO CON HIPÓTESIS</x:v>
      </x:c>
    </x:row>
    <x:row r="135">
      <x:c r="A135" s="77" t="n">
        <x:v>134</x:v>
      </x:c>
      <x:c r="B135" s="77" t="str">
        <x:v>Ana Valledor</x:v>
      </x:c>
      <x:c r="C135" s="77" t="str"/>
      <x:c r="D135" s="77" t="str">
        <x:v>Asturias occidental</x:v>
      </x:c>
      <x:c r="E135" s="77" t="str"/>
      <x:c r="F135" s="77" t="str"/>
      <x:c r="G135" s="77" t="str">
        <x:v>NUEVA 9ª pasada: antepasada tradicional</x:v>
      </x:c>
      <x:c r="H135" s="77" t="str">
        <x:v>https://dialnet.unirioja.es/descarga/articulo/4151486.pdf</x:v>
      </x:c>
      <x:c r="I135" s="77" t="str">
        <x:v>https://idus.us.es/server/api/core/bitstreams/4d5a11bd-b8ae-4c90-b1c9-2c58368d1a8c/content</x:v>
      </x:c>
      <x:c r="J135" s="77" t="str">
        <x:v>Trelles Villademoros la presenta como esposa de Rodrigo Díaz de Trelles y madre de Teresa Trelles del Río y Valledor. Gonzalo Anes cita esta filiación al revisar críticamente la genealogía antigua, por lo que se añade como pista, no como prueba primaria.</x:v>
      </x:c>
      <x:c r="K135" s="77" t="str">
        <x:v>Buscar documentación de los Valledor y posibles capitulaciones matrimoniales de finales del siglo XV/principios del XVI.</x:v>
      </x:c>
      <x:c r="L135" s="77" t="str">
        <x:v>Madre tradicional de Teresa Díaz/Trelles del Río y Valledor (ID 90). Esposa de Rodrigo Díaz de Trelles (ID 133).</x:v>
      </x:c>
      <x:c r="M135" s="77" t="str">
        <x:v>BAJA-MEDIA / tradición genealógica</x:v>
      </x:c>
      <x:c r="N135" s="12" t="str">
        <x:v>ENLAZADO CON HIPÓTESIS</x:v>
      </x:c>
    </x:row>
    <x:row r="136">
      <x:c r="A136" s="77" t="n">
        <x:v>135</x:v>
      </x:c>
      <x:c r="B136" s="77" t="str">
        <x:v>Teresa García de Luera y Trelles (también Teresa Castrillón Valledor)</x:v>
      </x:c>
      <x:c r="C136" s="77" t="str"/>
      <x:c r="D136" s="77" t="str">
        <x:v>Villacondide / Trelles (Asturias)</x:v>
      </x:c>
      <x:c r="E136" s="77" t="str"/>
      <x:c r="F136" s="77" t="str"/>
      <x:c r="G136" s="77" t="str">
        <x:v>NUEVA 9ª pasada: madre documentada en testamento</x:v>
      </x:c>
      <x:c r="H136" s="77" t="str">
        <x:v>https://dialnet.unirioja.es/descarga/articulo/3016531.pdf</x:v>
      </x:c>
      <x:c r="I136" s="77" t="str">
        <x:v>https://dialnet.unirioja.es/descarga/articulo/4151486.pdf</x:v>
      </x:c>
      <x:c r="J136" s="77" t="str">
        <x:v>El testamento estudiado por Gonzalo Anes identifica expresamente a Dominga López de Trelles como hija de Alonso López de Trelles y Teresa García de Luera y Trelles. En otros documentos Teresa aparece como «Teresa Castrillón Valledor».</x:v>
      </x:c>
      <x:c r="K136" s="77" t="str">
        <x:v>Consultar Archivo de la Universidad de Salamanca, expediente de Suero Antonio Trelles n.º 790, y padrón de 1638.</x:v>
      </x:c>
      <x:c r="L136" s="77" t="str">
        <x:v>Esposa de Alonso López de Trelles (ID 117). Madre de Dominga López de Trelles (ID 116) y de Francisco, Ana y María (IDs 136–138).</x:v>
      </x:c>
      <x:c r="M136" s="77" t="str">
        <x:v>ALTA</x:v>
      </x:c>
      <x:c r="N136" s="12" t="str">
        <x:v>ENLAZADO</x:v>
      </x:c>
    </x:row>
    <x:row r="137">
      <x:c r="A137" s="77" t="n">
        <x:v>136</x:v>
      </x:c>
      <x:c r="B137" s="77" t="str">
        <x:v>Francisco López de Trelles Villamil</x:v>
      </x:c>
      <x:c r="C137" s="77" t="str"/>
      <x:c r="D137" s="77" t="str">
        <x:v>Trelles / Villacondide (Asturias)</x:v>
      </x:c>
      <x:c r="E137" s="77" t="str"/>
      <x:c r="F137" s="77" t="str"/>
      <x:c r="G137" s="77" t="str">
        <x:v>NUEVA 9ª pasada: hijo documentado en padrones y memoria pía</x:v>
      </x:c>
      <x:c r="H137" s="77" t="str">
        <x:v>https://dialnet.unirioja.es/descarga/articulo/4151486.pdf</x:v>
      </x:c>
      <x:c r="I137" s="77" t="str"/>
      <x:c r="J137" s="77" t="str">
        <x:v>En los padrones de 1632 y 1638 consta como hijo legítimo de Alonso López de Trelles y Teresa García de Lueyra. En 1669 se obligó a pagar renta a la fábrica de San Juan de Trelles por un escaño y sepultura con escudo de armas.</x:v>
      </x:c>
      <x:c r="K137" s="77" t="str">
        <x:v>Consultar padrón 1632/1638 y libro de memorias pías de San Juan de Trelles.</x:v>
      </x:c>
      <x:c r="L137" s="77" t="str">
        <x:v>Hijo de Alonso López de Trelles (ID 117) y Teresa García de Luera (ID 135). Hermano de Dominga (ID 116), Ana (ID 137) y María (ID 138).</x:v>
      </x:c>
      <x:c r="M137" s="77" t="str">
        <x:v>ALTA</x:v>
      </x:c>
      <x:c r="N137" s="12" t="str">
        <x:v>ENLAZADO</x:v>
      </x:c>
    </x:row>
    <x:row r="138">
      <x:c r="A138" s="77" t="n">
        <x:v>137</x:v>
      </x:c>
      <x:c r="B138" s="77" t="str">
        <x:v>Ana López de Trelles</x:v>
      </x:c>
      <x:c r="C138" s="77" t="str"/>
      <x:c r="D138" s="77" t="str">
        <x:v>Trelles / Villacondide (Asturias)</x:v>
      </x:c>
      <x:c r="E138" s="77" t="str"/>
      <x:c r="F138" s="77" t="str"/>
      <x:c r="G138" s="77" t="str">
        <x:v>NUEVA 9ª pasada: hija documentada</x:v>
      </x:c>
      <x:c r="H138" s="77" t="str">
        <x:v>https://dialnet.unirioja.es/descarga/articulo/4151486.pdf</x:v>
      </x:c>
      <x:c r="I138" s="77" t="str"/>
      <x:c r="J138" s="77" t="str">
        <x:v>Gonzalo Anes señala que Alonso López de Trelles tuvo, además de Francisco, hijas llamadas Dominga, Ana y María. Ana figura como madrina en el bautismo de María, hija de García Morán y Dominga, el 12/05/1651.</x:v>
      </x:c>
      <x:c r="K138" s="77" t="str">
        <x:v>Consultar libro de bautizados de Villacondide, fol. 54v, y padrones familiares.</x:v>
      </x:c>
      <x:c r="L138" s="77" t="str">
        <x:v>Hija de Alonso López de Trelles (ID 117) y Teresa García de Luera (ID 135). Hermana de Dominga (ID 116), Francisco (ID 136) y María (ID 138).</x:v>
      </x:c>
      <x:c r="M138" s="77" t="str">
        <x:v>ALTA</x:v>
      </x:c>
      <x:c r="N138" s="12" t="str">
        <x:v>ENLAZADO</x:v>
      </x:c>
    </x:row>
    <x:row r="139">
      <x:c r="A139" s="77" t="n">
        <x:v>138</x:v>
      </x:c>
      <x:c r="B139" s="77" t="str">
        <x:v>María López de Trelles</x:v>
      </x:c>
      <x:c r="C139" s="77" t="str"/>
      <x:c r="D139" s="77" t="str">
        <x:v>Trelles / Villacondide (Asturias)</x:v>
      </x:c>
      <x:c r="E139" s="77" t="str">
        <x:v>12/04/1672</x:v>
      </x:c>
      <x:c r="F139" s="134" t="str"/>
      <x:c r="G139" s="134" t="str">
        <x:v>NUEVA 9ª pasada: hija documentada; fecha de muerte localizada</x:v>
      </x:c>
      <x:c r="H139" s="134" t="str">
        <x:v>https://dialnet.unirioja.es/descarga/articulo/4151486.pdf</x:v>
      </x:c>
      <x:c r="I139" s="134" t="str"/>
      <x:c r="J139" s="134" t="str">
        <x:v>El estudio identifica a María Álvarez de Trelles —hermana de Francisco López de Trelles e hija de Alonso López de Trelles— como fallecida el 12/04/1672; la onomástica varía entre María López/María Álvarez en las fuentes familiares. Se mantiene la variante para evitar fusionar sin revisar el documento original. 18ª pasada — CORRECCIÓN: La fuente dice que murió el 12/04/1672 y mandó ser enterrada en San Juan de Trelles; no identifica de forma expresa el lugar de fallecimiento.</x:v>
      </x:c>
      <x:c r="K139" s="77" t="str">
        <x:v>Revisar libro de memorias pías de Villacondide y testamento para fijar el nombre completo.</x:v>
      </x:c>
      <x:c r="L139" s="77" t="str">
        <x:v>Hija de Alonso López de Trelles (ID 117) y Teresa García de Luera (ID 135). Hermana de Dominga (ID 116), Francisco (ID 136) y Ana (ID 137).</x:v>
      </x:c>
      <x:c r="M139" s="77" t="str">
        <x:v>MEDIA-ALTA por variante onomástica</x:v>
      </x:c>
      <x:c r="N139" s="12" t="str">
        <x:v>ENLAZADO</x:v>
      </x:c>
    </x:row>
    <x:row r="140">
      <x:c r="A140" s="77" t="n">
        <x:v>139</x:v>
      </x:c>
      <x:c r="B140" s="77" t="str">
        <x:v>Lucas Fernández Infanzón y María Alonso de la Vega (pareja ancestral PARES)</x:v>
      </x:c>
      <x:c r="C140" s="77" t="str"/>
      <x:c r="D140" s="77" t="str">
        <x:v>Coaña (Asturias)</x:v>
      </x:c>
      <x:c r="E140" s="77" t="str"/>
      <x:c r="F140" s="77" t="str"/>
      <x:c r="G140" s="77" t="str">
        <x:v>NUEVA 9ª pasada: pareja ancestral documentada en pleito de hidalguía, identidad exacta pendiente</x:v>
      </x:c>
      <x:c r="H140" s="77" t="str">
        <x:v>https://pares.mcu.es/ParesBusquedas20/catalogo/description/461876</x:v>
      </x:c>
      <x:c r="I140" s="77" t="str">
        <x:v>https://pares.mcu.es/ParesBusquedas20/catalogo/find?archivo=8&amp;idAut=70553&amp;idLP=-1&amp;idN=19&amp;nomAut=Coa%C3%B1a+%28Asturias%2C+Espa%C3%B1a%29&amp;tipoAsocAut=1</x:v>
      </x:c>
      <x:c r="J140" s="77" t="str">
        <x:v>La descripción PARES del pleito de José García Infanzón y Hebia (1752–1754, SALA DE HIJOSDALGO, CAJA 948,18) indica que el litigante era segundo nieto de Lucas Fernández Infanzón y María Alonso de la Vega. Podrían corresponder a la misma generación de Lucas Fernández Infanzón (ID 81), pero el nombre de la esposa no coincide con María Alfonso; por ello se registra como pareja/candidato documental separado y no se fusiona.</x:v>
      </x:c>
      <x:c r="K140" s="77" t="str">
        <x:v>Solicitar o consultar el pleito SALA DE HIJOSDALGO, CAJA 948,18 para reconstruir las generaciones intermedias.</x:v>
      </x:c>
      <x:c r="L140" s="77" t="str">
        <x:v>Posible conexión con Lucas Fernández Infanzón (ID 81) y la rama Infanzón de Coaña. No enlazar todavía como identidad confirmada.</x:v>
      </x:c>
      <x:c r="M140" s="77" t="str">
        <x:v>MEDIA como rama / BAJA para identidad con ID81</x:v>
      </x:c>
      <x:c r="N140" s="12" t="str">
        <x:v>ENLAZADO CON HIPÓTESIS</x:v>
      </x:c>
    </x:row>
    <x:row r="141">
      <x:c r="A141" s="80" t="n">
        <x:v>140</x:v>
      </x:c>
      <x:c r="B141" s="80" t="str">
        <x:v>Lope Alfonso de Pumarín</x:v>
      </x:c>
      <x:c r="C141" s="80" t="str"/>
      <x:c r="D141" s="80" t="str">
        <x:v>Pumarín, parroquia de Trelles (Asturias)</x:v>
      </x:c>
      <x:c r="E141" s="80" t="str"/>
      <x:c r="F141" s="80" t="str"/>
      <x:c r="G141" s="80" t="str">
        <x:v>NUEVA 10ª pasada: padre atribuido en pruebas de 1636</x:v>
      </x:c>
      <x:c r="H141" s="80" t="str">
        <x:v>https://dialnet.unirioja.es/descarga/articulo/3016531.pdf</x:v>
      </x:c>
      <x:c r="I141" s="80" t="str"/>
      <x:c r="J141" s="80" t="str">
        <x:v>En la información tomada en 1636 para la oposición de Benito González/Trelles al Colegio Mayor de Oviedo, Fernando Alonso de la Turreira declaró que Fernando Fernández de Trelles había sido hijo legítimo de Lope Alfonso de Pumarín y María García de Trelles, vecinos de Pumarín, descendientes del solar de Trelles. Esta atribución entra en conflicto con la línea Lope Méndez «el de Villar» conservada en otra documentación.</x:v>
      </x:c>
      <x:c r="K141" s="80" t="str">
        <x:v>Consultar Archivo de la Universidad de Salamanca, expediente de Benito González n.º 2.328, y AHN Órdenes Militares, Santiago, 680-8220, fols. 32–65.</x:v>
      </x:c>
      <x:c r="L141" s="80" t="str">
        <x:v>Posible padre de Fernando Fernández de Trelles (ID 89). Esposo de María García de Trelles (ID 92). Alternativa a Lope Méndez (ID 91).</x:v>
      </x:c>
      <x:c r="M141" s="80" t="str">
        <x:v>MEDIA-ALTA</x:v>
      </x:c>
      <x:c r="N141" s="12" t="str">
        <x:v>ENLAZADO CON HIPÓTESIS</x:v>
      </x:c>
    </x:row>
    <x:row r="142">
      <x:c r="A142" s="80" t="n">
        <x:v>141</x:v>
      </x:c>
      <x:c r="B142" s="80" t="str">
        <x:v>María Méndez Trelles y Morán (o Álvarez Morán)</x:v>
      </x:c>
      <x:c r="C142" s="80" t="str">
        <x:v>04/12/1646 (bautismo)</x:v>
      </x:c>
      <x:c r="D142" s="80" t="str">
        <x:v>Villacondide, Coaña (Asturias)</x:v>
      </x:c>
      <x:c r="E142" s="80" t="str"/>
      <x:c r="F142" s="80" t="str"/>
      <x:c r="G142" s="80" t="str">
        <x:v>NUEVA 10ª pasada: nieta documentada; bautismo localizado</x:v>
      </x:c>
      <x:c r="H142" s="80" t="str">
        <x:v>https://dialnet.unirioja.es/descarga/articulo/3016531.pdf</x:v>
      </x:c>
      <x:c r="I142" s="80" t="str"/>
      <x:c r="J142" s="80" t="str">
        <x:v>La tabla genealógica final del estudio da a María Méndez Trelles y Morán, también llamada Álvarez Morán, como bautizada el 04/12/1646. Pertenece a la descendencia de García Morán de Trelles y Dominga López de Trelles.</x:v>
      </x:c>
      <x:c r="K142" s="80" t="str">
        <x:v>Revisar libro de bautizados de Villacondide para confirmar padres y padrinos exactos.</x:v>
      </x:c>
      <x:c r="L142" s="80" t="str">
        <x:v>Hija de García Morán de Trelles (ID 96) y Dominga López de Trelles (ID 116), según la reconstrucción de la rama.</x:v>
      </x:c>
      <x:c r="M142" s="80" t="str">
        <x:v>MEDIA-ALTA</x:v>
      </x:c>
      <x:c r="N142" s="12" t="str">
        <x:v>ENLAZADO</x:v>
      </x:c>
    </x:row>
    <x:row r="143">
      <x:c r="A143" s="80" t="n">
        <x:v>142</x:v>
      </x:c>
      <x:c r="B143" s="80" t="str">
        <x:v>María Álvarez Morán de Trelles y Villamil</x:v>
      </x:c>
      <x:c r="C143" s="80" t="str">
        <x:v>12/05/1651 (bautismo)</x:v>
      </x:c>
      <x:c r="D143" s="80" t="str">
        <x:v>Villacondide, Coaña (Asturias)</x:v>
      </x:c>
      <x:c r="E143" s="80" t="str">
        <x:v>27/01/1709</x:v>
      </x:c>
      <x:c r="F143" s="137" t="str">
        <x:v>Villacondide, Coaña (Asturias)</x:v>
      </x:c>
      <x:c r="G143" s="137" t="str">
        <x:v>NUEVA 10ª pasada: bautismo y defunción documentados</x:v>
      </x:c>
      <x:c r="H143" s="137" t="str">
        <x:v>https://dialnet.unirioja.es/descarga/articulo/3016531.pdf</x:v>
      </x:c>
      <x:c r="I143" s="137" t="str"/>
      <x:c r="J143" s="137" t="str">
        <x:v>Bautizada en Villacondide el 12/05/1651; el estudio transcribe además su defunción el 27/01/1709. Casó con Diego Méndez de la Calzada. Es una hija distinta de otras Marías bautizadas antes en la misma familia. 18ª pasada — CORRECCIÓN: La fuente dice que falleció el 27/01/1709 y que la partida está en el libro de difuntos de Villacondide; no explicita el lugar físico de la muerte. 19ª pasada — REVISIÓN: la tabla genealógica final del estudio sí formula expresamente «+ 27-I-1709 en Villacondide», por lo que Villacondide vuelve a quedar como lugar de defunción confirmado.</x:v>
      </x:c>
      <x:c r="K143" s="80" t="str">
        <x:v>Consultar folio 54v del libro de bautizados y la partida de entierro en Villacondide.</x:v>
      </x:c>
      <x:c r="L143" s="80" t="str">
        <x:v>Hija de García Morán de Trelles (ID 96) y Dominga López de Trelles (ID 116). Esposa de Diego Méndez de la Calzada (ID 143).</x:v>
      </x:c>
      <x:c r="M143" s="80" t="str">
        <x:v>ALTA</x:v>
      </x:c>
      <x:c r="N143" s="12" t="str">
        <x:v>ENLAZADO</x:v>
      </x:c>
    </x:row>
    <x:row r="144">
      <x:c r="A144" s="80" t="n">
        <x:v>143</x:v>
      </x:c>
      <x:c r="B144" s="80" t="str">
        <x:v>Diego Méndez de la Calzada (de la Murola / de Pumarín)</x:v>
      </x:c>
      <x:c r="C144" s="80" t="str">
        <x:v>05/12/1640 (bautismo)</x:v>
      </x:c>
      <x:c r="D144" s="80" t="str">
        <x:v>Villacondide, Coaña (Asturias)</x:v>
      </x:c>
      <x:c r="E144" s="80" t="str">
        <x:v>10/04/1711</x:v>
      </x:c>
      <x:c r="F144" s="134" t="str">
        <x:v>Villacondide, Coaña (Asturias)</x:v>
      </x:c>
      <x:c r="G144" s="134" t="str">
        <x:v>NUEVA 10ª pasada: nacimiento familiar y defunción documentados</x:v>
      </x:c>
      <x:c r="H144" s="134" t="str">
        <x:v>https://dialnet.unirioja.es/descarga/articulo/3016531.pdf</x:v>
      </x:c>
      <x:c r="I144" s="134" t="str"/>
      <x:c r="J144" s="134" t="str">
        <x:v>Bautizado el 05/12/1640 en Villacondide como hijo de Lope Méndez de la Murola y María Méndez. La partida de defunción fija su muerte en Villacondide el 10/04/1711. El estudio explica que fue conocido como Diego Méndez de la Calzada por el apellido de su abuela paterna. 18ª pasada: confirmado de forma explícita por Gonzalo Anes: «Diego Méndez de la Murola falleció en Villacondide el 10 de abril de 1711».</x:v>
      </x:c>
      <x:c r="K144" s="80" t="str">
        <x:v>Consultar partidas sacramentales originales y matrimonio con María Álvarez Morán de Trelles.</x:v>
      </x:c>
      <x:c r="L144" s="80" t="str">
        <x:v>Esposo de María Álvarez Morán de Trelles (ID 142). Hijo de Lope Méndez de la Murola (ID 144) y María Méndez (ID 145).</x:v>
      </x:c>
      <x:c r="M144" s="80" t="str">
        <x:v>ALTA</x:v>
      </x:c>
      <x:c r="N144" s="12" t="str">
        <x:v>ENLAZADO</x:v>
      </x:c>
    </x:row>
    <x:row r="145">
      <x:c r="A145" s="80" t="n">
        <x:v>144</x:v>
      </x:c>
      <x:c r="B145" s="80" t="str">
        <x:v>Lope Méndez de la Murola</x:v>
      </x:c>
      <x:c r="C145" s="80" t="str"/>
      <x:c r="D145" s="80" t="str">
        <x:v>Villacondide / Pumarín (Asturias)</x:v>
      </x:c>
      <x:c r="E145" s="80" t="str"/>
      <x:c r="F145" s="80" t="str"/>
      <x:c r="G145" s="80" t="str">
        <x:v>NUEVA 10ª pasada: padre documentado por bautismo</x:v>
      </x:c>
      <x:c r="H145" s="80" t="str">
        <x:v>https://dialnet.unirioja.es/descarga/articulo/3016531.pdf</x:v>
      </x:c>
      <x:c r="I145" s="80" t="str"/>
      <x:c r="J145" s="80" t="str">
        <x:v>La partida bautismal de Diego Méndez del 05/12/1640 lo identifica como padre, casado entonces con María Méndez. En segundas nupcias casó en Villacondide el 03/04/1652 con Dominga Pérez.</x:v>
      </x:c>
      <x:c r="K145" s="80" t="str">
        <x:v>Consultar matrimonio de 1652 para confirmar sus propios padres y enlazar con la generación anterior.</x:v>
      </x:c>
      <x:c r="L145" s="80" t="str">
        <x:v>Padre de Diego Méndez de la Calzada (ID 143). Esposo primero de María Méndez (ID 145).</x:v>
      </x:c>
      <x:c r="M145" s="80" t="str">
        <x:v>ALTA</x:v>
      </x:c>
      <x:c r="N145" s="12" t="str">
        <x:v>ENLAZADO</x:v>
      </x:c>
    </x:row>
    <x:row r="146">
      <x:c r="A146" s="80" t="n">
        <x:v>145</x:v>
      </x:c>
      <x:c r="B146" s="80" t="str">
        <x:v>María Méndez (esposa de Lope Méndez de la Murola)</x:v>
      </x:c>
      <x:c r="C146" s="80" t="str"/>
      <x:c r="D146" s="80" t="str">
        <x:v>Villacondide / entorno de Coaña (Asturias)</x:v>
      </x:c>
      <x:c r="E146" s="80" t="str"/>
      <x:c r="F146" s="80" t="str"/>
      <x:c r="G146" s="80" t="str">
        <x:v>NUEVA 10ª pasada: madre documentada por bautismo</x:v>
      </x:c>
      <x:c r="H146" s="80" t="str">
        <x:v>https://dialnet.unirioja.es/descarga/articulo/3016531.pdf</x:v>
      </x:c>
      <x:c r="I146" s="80" t="str"/>
      <x:c r="J146" s="80" t="str">
        <x:v>La partida bautismal de Diego Méndez del 05/12/1640 identifica expresamente a María Méndez como su madre y mujer de Lope Méndez de la Murola.</x:v>
      </x:c>
      <x:c r="K146" s="80" t="str">
        <x:v>Buscar matrimonio y defunción anteriores al segundo matrimonio de Lope Méndez en 1652.</x:v>
      </x:c>
      <x:c r="L146" s="80" t="str">
        <x:v>Madre de Diego Méndez de la Calzada (ID 143). Primera esposa documentada de Lope Méndez de la Murola (ID 144).</x:v>
      </x:c>
      <x:c r="M146" s="80" t="str">
        <x:v>ALTA</x:v>
      </x:c>
      <x:c r="N146" s="12" t="str">
        <x:v>ENLAZADO</x:v>
      </x:c>
    </x:row>
    <x:row r="147">
      <x:c r="A147" s="80" t="n">
        <x:v>146</x:v>
      </x:c>
      <x:c r="B147" s="80" t="str">
        <x:v>Diego Méndez de Pumarín</x:v>
      </x:c>
      <x:c r="C147" s="80" t="str"/>
      <x:c r="D147" s="80" t="str">
        <x:v>Pumarín / Villacondide (Asturias)</x:v>
      </x:c>
      <x:c r="E147" s="80" t="str"/>
      <x:c r="F147" s="80" t="str"/>
      <x:c r="G147" s="80" t="str">
        <x:v>NUEVA 10ª pasada: abuelo paterno documentado</x:v>
      </x:c>
      <x:c r="H147" s="80" t="str">
        <x:v>https://dialnet.unirioja.es/descarga/articulo/3016531.pdf</x:v>
      </x:c>
      <x:c r="I147" s="80" t="str"/>
      <x:c r="J147" s="80" t="str">
        <x:v>La partida del segundo matrimonio de Lope Méndez de la Murola (03/04/1652) identifica a sus padres como Diego Méndez de Pumarín y Dominga Pérez de la Calzada.</x:v>
      </x:c>
      <x:c r="K147" s="80" t="str">
        <x:v>Consultar partida matrimonial de 1652 y padrones de Villacondide/Pumarín.</x:v>
      </x:c>
      <x:c r="L147" s="80" t="str">
        <x:v>Padre de Lope Méndez de la Murola (ID 144). Esposo de Dominga Pérez de la Calzada (ID 147).</x:v>
      </x:c>
      <x:c r="M147" s="80" t="str">
        <x:v>ALTA</x:v>
      </x:c>
      <x:c r="N147" s="12" t="str">
        <x:v>ENLAZADO</x:v>
      </x:c>
    </x:row>
    <x:row r="148">
      <x:c r="A148" s="80" t="n">
        <x:v>147</x:v>
      </x:c>
      <x:c r="B148" s="80" t="str">
        <x:v>Dominga Pérez de la Calzada</x:v>
      </x:c>
      <x:c r="C148" s="80" t="str"/>
      <x:c r="D148" s="80" t="str">
        <x:v>Villacondide / Pumarín (Asturias)</x:v>
      </x:c>
      <x:c r="E148" s="80" t="str"/>
      <x:c r="F148" s="80" t="str"/>
      <x:c r="G148" s="80" t="str">
        <x:v>NUEVA 10ª pasada: abuela paterna documentada</x:v>
      </x:c>
      <x:c r="H148" s="80" t="str">
        <x:v>https://dialnet.unirioja.es/descarga/articulo/3016531.pdf</x:v>
      </x:c>
      <x:c r="I148" s="80" t="str"/>
      <x:c r="J148" s="80" t="str">
        <x:v>La partida matrimonial de 1652 identifica a Dominga Pérez de la Calzada como madre de Lope Méndez de la Murola. Su apellido explica el uso posterior «Méndez de la Calzada» en su nieto Diego.</x:v>
      </x:c>
      <x:c r="K148" s="80" t="str">
        <x:v>Buscar su matrimonio con Diego Méndez de Pumarín y partidas de sus hijos.</x:v>
      </x:c>
      <x:c r="L148" s="80" t="str">
        <x:v>Madre de Lope Méndez de la Murola (ID 144). Esposa de Diego Méndez de Pumarín (ID 146).</x:v>
      </x:c>
      <x:c r="M148" s="80" t="str">
        <x:v>ALTA</x:v>
      </x:c>
      <x:c r="N148" s="12" t="str">
        <x:v>ENLAZADO</x:v>
      </x:c>
    </x:row>
    <x:row r="149">
      <x:c r="A149" s="83" t="n">
        <x:v>148</x:v>
      </x:c>
      <x:c r="B149" s="83" t="str">
        <x:v>Antonio Morán de Trelles</x:v>
      </x:c>
      <x:c r="C149" s="83" t="str">
        <x:v>10/03/1641 (bautismo)</x:v>
      </x:c>
      <x:c r="D149" s="83" t="str">
        <x:v>Villacondide, Coaña (Asturias)</x:v>
      </x:c>
      <x:c r="E149" s="83" t="str"/>
      <x:c r="F149" s="83" t="str"/>
      <x:c r="G149" s="83" t="str">
        <x:v>NUEVA 11ª pasada: bautismo parroquial documentado</x:v>
      </x:c>
      <x:c r="H149" s="83" t="str">
        <x:v>https://dialnet.unirioja.es/descarga/articulo/3016531.pdf</x:v>
      </x:c>
      <x:c r="I149" s="83" t="str"/>
      <x:c r="J149" s="83" t="str">
        <x:v>Bautizado en Villacondide el 10/03/1641. Fueron padrinos Lope Suárez, hijo de Diego García del Río, y María Álvarez.</x:v>
      </x:c>
      <x:c r="K149" s="83" t="str">
        <x:v>Consultar libro primero de bautizados de Villacondide para fecha de nacimiento exacta.</x:v>
      </x:c>
      <x:c r="L149" s="83" t="str">
        <x:v>Hijo de García Morán de Trelles (ID 96) y Dominga López de Trelles (ID 116).</x:v>
      </x:c>
      <x:c r="M149" s="83" t="str">
        <x:v>ALTA</x:v>
      </x:c>
      <x:c r="N149" s="12" t="str">
        <x:v>ENLAZADO</x:v>
      </x:c>
    </x:row>
    <x:row r="150">
      <x:c r="A150" s="83" t="n">
        <x:v>149</x:v>
      </x:c>
      <x:c r="B150" s="83" t="str">
        <x:v>Francisco Morán de Trelles (bautizado 1642)</x:v>
      </x:c>
      <x:c r="C150" s="83" t="str">
        <x:v>09/12/1642 (bautismo)</x:v>
      </x:c>
      <x:c r="D150" s="83" t="str">
        <x:v>Villacondide, Coaña (Asturias)</x:v>
      </x:c>
      <x:c r="E150" s="83" t="str"/>
      <x:c r="F150" s="83" t="str"/>
      <x:c r="G150" s="83" t="str">
        <x:v>NUEVA 11ª pasada: bautismo parroquial documentado</x:v>
      </x:c>
      <x:c r="H150" s="83" t="str">
        <x:v>https://dialnet.unirioja.es/descarga/articulo/3016531.pdf</x:v>
      </x:c>
      <x:c r="I150" s="83" t="str"/>
      <x:c r="J150" s="83" t="str">
        <x:v>Bautizado el 09/12/1642. Fue apadrinado por el bachiller Alonso González, cura de San Juan de Trelles, y Antonia, hermana de Dominga López. La existencia de otro Francisco bautizado en 1644 sugiere que este primero pudo morir niño, pero no se afirma sin partida de entierro.</x:v>
      </x:c>
      <x:c r="K150" s="83" t="str">
        <x:v>Buscar defunción infantil entre 1642 y 1644.</x:v>
      </x:c>
      <x:c r="L150" s="83" t="str">
        <x:v>Hijo de IDs 96 y 116. Hermano mayor de otro Francisco Morán bautizado en 1644 (ID 150).</x:v>
      </x:c>
      <x:c r="M150" s="83" t="str">
        <x:v>ALTA bautismo / MEDIA hipótesis de muerte infantil</x:v>
      </x:c>
      <x:c r="N150" s="12" t="str">
        <x:v>ENLAZADO</x:v>
      </x:c>
    </x:row>
    <x:row r="151">
      <x:c r="A151" s="83" t="n">
        <x:v>150</x:v>
      </x:c>
      <x:c r="B151" s="83" t="str">
        <x:v>Francisco Morán de Trelles (bautizado 1644)</x:v>
      </x:c>
      <x:c r="C151" s="83" t="str">
        <x:v>24/05/1644 (bautismo)</x:v>
      </x:c>
      <x:c r="D151" s="83" t="str">
        <x:v>Villacondide, Coaña (Asturias)</x:v>
      </x:c>
      <x:c r="E151" s="83" t="str"/>
      <x:c r="F151" s="83" t="str"/>
      <x:c r="G151" s="83" t="str">
        <x:v>NUEVA 11ª pasada: segundo hijo homónimo documentado</x:v>
      </x:c>
      <x:c r="H151" s="83" t="str">
        <x:v>https://dialnet.unirioja.es/descarga/articulo/3016531.pdf</x:v>
      </x:c>
      <x:c r="I151" s="83" t="str"/>
      <x:c r="J151" s="83" t="str">
        <x:v>Otro hijo de García Morán y Dominga recibió también el nombre Francisco y fue bautizado el 24/05/1644. En la documentación posterior aparece un Francisco Morán de Trelles vivo y beneficiado en el testamento paterno; probablemente sea este segundo Francisco, pero conviene comprobarlo.</x:v>
      </x:c>
      <x:c r="K151" s="83" t="str">
        <x:v>Cruzar padrones 1687–1704 y testamento de García Morán.</x:v>
      </x:c>
      <x:c r="L151" s="83" t="str">
        <x:v>Hijo de IDs 96 y 116. Hermano de Francisco 1642 (ID 149). Probable Francisco adulto mencionado en 1680–1704.</x:v>
      </x:c>
      <x:c r="M151" s="83" t="str">
        <x:v>ALTA bautismo / MEDIA identificación adulta</x:v>
      </x:c>
      <x:c r="N151" s="12" t="str">
        <x:v>ENLAZADO</x:v>
      </x:c>
    </x:row>
    <x:row r="152">
      <x:c r="A152" s="83" t="n">
        <x:v>151</x:v>
      </x:c>
      <x:c r="B152" s="83" t="str">
        <x:v>Antonia Morán de Trelles</x:v>
      </x:c>
      <x:c r="C152" s="83" t="str">
        <x:v>30/05/1646 (bautismo)</x:v>
      </x:c>
      <x:c r="D152" s="83" t="str">
        <x:v>Villacondide, Coaña (Asturias)</x:v>
      </x:c>
      <x:c r="E152" s="83" t="str"/>
      <x:c r="F152" s="83" t="str"/>
      <x:c r="G152" s="83" t="str">
        <x:v>NUEVA 11ª pasada: bautismo parroquial documentado</x:v>
      </x:c>
      <x:c r="H152" s="83" t="str">
        <x:v>https://dialnet.unirioja.es/descarga/articulo/3016531.pdf</x:v>
      </x:c>
      <x:c r="I152" s="83" t="str"/>
      <x:c r="J152" s="83" t="str">
        <x:v>Bautizada en Villacondide el 30/05/1646. Padrinos: Domingo Fuertes Morán y Sierra y su hermana Leonor Álvarez.</x:v>
      </x:c>
      <x:c r="K152" s="83" t="str">
        <x:v>Buscar matrimonio o defunción en Villacondide y parroquias limítrofes.</x:v>
      </x:c>
      <x:c r="L152" s="83" t="str">
        <x:v>Hija de García Morán de Trelles (ID 96) y Dominga López de Trelles (ID 116).</x:v>
      </x:c>
      <x:c r="M152" s="83" t="str">
        <x:v>ALTA</x:v>
      </x:c>
      <x:c r="N152" s="12" t="str">
        <x:v>ENLAZADO</x:v>
      </x:c>
    </x:row>
    <x:row r="153">
      <x:c r="A153" s="83" t="n">
        <x:v>152</x:v>
      </x:c>
      <x:c r="B153" s="83" t="str">
        <x:v>Suero (Sueiro) Morán de Trelles</x:v>
      </x:c>
      <x:c r="C153" s="83" t="str">
        <x:v>12/04/1657 (bautismo)</x:v>
      </x:c>
      <x:c r="D153" s="83" t="str">
        <x:v>Villacondide, Coaña (Asturias)</x:v>
      </x:c>
      <x:c r="E153" s="83" t="str"/>
      <x:c r="F153" s="83" t="str"/>
      <x:c r="G153" s="83" t="str">
        <x:v>NUEVA 11ª pasada: bautismo y trayectoria posterior documentados</x:v>
      </x:c>
      <x:c r="H153" s="83" t="str">
        <x:v>https://dialnet.unirioja.es/descarga/articulo/3016531.pdf</x:v>
      </x:c>
      <x:c r="I153" s="83" t="str"/>
      <x:c r="J153" s="83" t="str">
        <x:v>Bautizado en Villacondide el 12/04/1657. Más tarde figura como colegial de la Universidad de Salamanca y doctoral de la catedral de Salamanca; los padrones de 1699 y 1717 lo identifican como hijo legítimo de García Morán y Dominga López.</x:v>
      </x:c>
      <x:c r="K153" s="83" t="str">
        <x:v>Buscar expediente universitario/canonicato para fechas de estudios, cargos y muerte.</x:v>
      </x:c>
      <x:c r="L153" s="83" t="str">
        <x:v>Hijo de García Morán de Trelles (ID 96) y Dominga López de Trelles (ID 116). Hermano de Alonso Morán (ID 118).</x:v>
      </x:c>
      <x:c r="M153" s="83" t="str">
        <x:v>ALTA</x:v>
      </x:c>
      <x:c r="N153" s="12" t="str">
        <x:v>ENLAZADO</x:v>
      </x:c>
    </x:row>
    <x:row r="154">
      <x:c r="A154" s="83" t="n">
        <x:v>153</x:v>
      </x:c>
      <x:c r="B154" s="83" t="str">
        <x:v>Gonzalo Morán de Trelles</x:v>
      </x:c>
      <x:c r="C154" s="83" t="str">
        <x:v>01/05/1663 (bautismo)</x:v>
      </x:c>
      <x:c r="D154" s="83" t="str">
        <x:v>Villacondide, Coaña (Asturias)</x:v>
      </x:c>
      <x:c r="E154" s="83" t="str"/>
      <x:c r="F154" s="83" t="str"/>
      <x:c r="G154" s="83" t="str">
        <x:v>NUEVA 11ª pasada: bautismo y estado eclesiástico documentados</x:v>
      </x:c>
      <x:c r="H154" s="83" t="str">
        <x:v>https://dialnet.unirioja.es/descarga/articulo/3016531.pdf</x:v>
      </x:c>
      <x:c r="I154" s="83" t="str"/>
      <x:c r="J154" s="83" t="str">
        <x:v>Bautizado el 01/05/1663. En el padrón de 1691 figura como hermano legítimo de Suero Morán y aparece ordenado de orden sacro.</x:v>
      </x:c>
      <x:c r="K154" s="83" t="str">
        <x:v>Buscar expediente de órdenes y defunción.</x:v>
      </x:c>
      <x:c r="L154" s="83" t="str">
        <x:v>Hijo de IDs 96 y 116. Hermano de Suero Morán (ID 152) y Alonso Morán (ID 118).</x:v>
      </x:c>
      <x:c r="M154" s="83" t="str">
        <x:v>ALTA</x:v>
      </x:c>
      <x:c r="N154" s="12" t="str">
        <x:v>ENLAZADO</x:v>
      </x:c>
    </x:row>
    <x:row r="155">
      <x:c r="A155" s="83" t="n">
        <x:v>154</x:v>
      </x:c>
      <x:c r="B155" s="83" t="str">
        <x:v>Catalina Álvarez Morán Trelles y Villamil</x:v>
      </x:c>
      <x:c r="C155" s="83" t="str"/>
      <x:c r="D155" s="83" t="str">
        <x:v>Villacondide, Coaña (Asturias)</x:v>
      </x:c>
      <x:c r="E155" s="83" t="str"/>
      <x:c r="F155" s="83" t="str"/>
      <x:c r="G155" s="83" t="str">
        <x:v>NUEVA 11ª pasada: matrimonio documentado</x:v>
      </x:c>
      <x:c r="H155" s="83" t="str">
        <x:v>https://dialnet.unirioja.es/descarga/articulo/3016531.pdf</x:v>
      </x:c>
      <x:c r="I155" s="83" t="str"/>
      <x:c r="J155" s="83" t="str">
        <x:v>Hija de García Morán de Trelles y Dominga López. Casó el 29/08/1695 con Antonio Alonso San Julián y Aguiar. Vivieron en la feligresía de Campos (Castropol) y no tuvieron sucesión.</x:v>
      </x:c>
      <x:c r="K155" s="83" t="str">
        <x:v>Consultar libro de casados de Villacondide, fol. 51v, y testamento de 1721.</x:v>
      </x:c>
      <x:c r="L155" s="83" t="str">
        <x:v>Hija de IDs 96 y 116. Esposa de Antonio Alonso San Julián y Aguiar (ID 166).</x:v>
      </x:c>
      <x:c r="M155" s="83" t="str">
        <x:v>ALTA</x:v>
      </x:c>
      <x:c r="N155" s="12" t="str">
        <x:v>ENLAZADO</x:v>
      </x:c>
    </x:row>
    <x:row r="156">
      <x:c r="A156" s="83" t="n">
        <x:v>155</x:v>
      </x:c>
      <x:c r="B156" s="83" t="str">
        <x:v>Lucía López de Aguiar</x:v>
      </x:c>
      <x:c r="C156" s="83" t="str"/>
      <x:c r="D156" s="83" t="str">
        <x:v>Villacondide / entorno de Coaña (Asturias)</x:v>
      </x:c>
      <x:c r="E156" s="83" t="str">
        <x:v>24/08/1700</x:v>
      </x:c>
      <x:c r="F156" s="134" t="str">
        <x:v>Villacondide, Coaña (Asturias)</x:v>
      </x:c>
      <x:c r="G156" s="134" t="str">
        <x:v>NUEVA 11ª pasada: esposa y defunción documentadas</x:v>
      </x:c>
      <x:c r="H156" s="134" t="str">
        <x:v>https://dialnet.unirioja.es/descarga/articulo/3016531.pdf</x:v>
      </x:c>
      <x:c r="I156" s="134" t="str"/>
      <x:c r="J156" s="134" t="str">
        <x:v>Esposa de Alonso Morán de Trelles. Falleció en Villacondide el 24/08/1700 de un accidente y fue enterrada el día 26. Había otorgado testamento previamente ante Domingo García del Real. 18ª pasada: confirmado de forma explícita por Gonzalo Anes: «Lucía López de Aguiar falleció en Villacondide el 24 de agosto de 1700».</x:v>
      </x:c>
      <x:c r="K156" s="83" t="str">
        <x:v>Buscar su bautismo y matrimonio para identificar a sus padres; era hermana del cura Francisco López de Aguiar.</x:v>
      </x:c>
      <x:c r="L156" s="83" t="str">
        <x:v>Esposa de Alonso Morán de Trelles (ID 118). Madre de Antonio, María, Teresa, María gemela, Francisco, Fernando Antonio, Catalina y Lucía-Ana (IDs 156–163).</x:v>
      </x:c>
      <x:c r="M156" s="83" t="str">
        <x:v>ALTA</x:v>
      </x:c>
      <x:c r="N156" s="12" t="str">
        <x:v>ENLAZADO</x:v>
      </x:c>
    </x:row>
    <x:row r="157">
      <x:c r="A157" s="83" t="n">
        <x:v>156</x:v>
      </x:c>
      <x:c r="B157" s="83" t="str">
        <x:v>Antonio Morán de Trelles (hijo de Alonso)</x:v>
      </x:c>
      <x:c r="C157" s="83" t="str">
        <x:v>09/07/1659 (bautismo)</x:v>
      </x:c>
      <x:c r="D157" s="83" t="str">
        <x:v>Villacondide, Coaña (Asturias)</x:v>
      </x:c>
      <x:c r="E157" s="83" t="str"/>
      <x:c r="F157" s="83" t="str"/>
      <x:c r="G157" s="83" t="str">
        <x:v>NUEVA 11ª pasada: bautismo documentado</x:v>
      </x:c>
      <x:c r="H157" s="83" t="str">
        <x:v>https://dialnet.unirioja.es/descarga/articulo/3016531.pdf</x:v>
      </x:c>
      <x:c r="I157" s="83" t="str"/>
      <x:c r="J157" s="83" t="str">
        <x:v>Bautizado el 09/07/1659. Fueron padrinos su abuela paterna Dominga López y el comisario García Morán de Navia, cura de San Pedro de Andés.</x:v>
      </x:c>
      <x:c r="K157" s="83" t="str">
        <x:v>Seguir en padrones y libros de difuntos.</x:v>
      </x:c>
      <x:c r="L157" s="83" t="str">
        <x:v>Hijo de Alonso Morán de Trelles (ID 118) y Lucía López de Aguiar (ID 155).</x:v>
      </x:c>
      <x:c r="M157" s="83" t="str">
        <x:v>ALTA</x:v>
      </x:c>
      <x:c r="N157" s="12" t="str">
        <x:v>ENLAZADO</x:v>
      </x:c>
    </x:row>
    <x:row r="158">
      <x:c r="A158" s="83" t="n">
        <x:v>157</x:v>
      </x:c>
      <x:c r="B158" s="83" t="str">
        <x:v>María Morán de Trelles (hija de Alonso)</x:v>
      </x:c>
      <x:c r="C158" s="83" t="str">
        <x:v>14/05/1662 (bautismo)</x:v>
      </x:c>
      <x:c r="D158" s="83" t="str">
        <x:v>Villacondide, Coaña (Asturias)</x:v>
      </x:c>
      <x:c r="E158" s="83" t="str"/>
      <x:c r="F158" s="83" t="str"/>
      <x:c r="G158" s="83" t="str">
        <x:v>NUEVA 11ª pasada: bautismo documentado</x:v>
      </x:c>
      <x:c r="H158" s="83" t="str">
        <x:v>https://dialnet.unirioja.es/descarga/articulo/3016531.pdf</x:v>
      </x:c>
      <x:c r="I158" s="83" t="str"/>
      <x:c r="J158" s="83" t="str">
        <x:v>Bautizada el 14/05/1662. Padrinos: Pedro Álvarez de Trelles y Valledor y María López de Trelles, tía paterna de la niña.</x:v>
      </x:c>
      <x:c r="K158" s="83" t="str">
        <x:v>Buscar matrimonio o defunción.</x:v>
      </x:c>
      <x:c r="L158" s="83" t="str">
        <x:v>Hija de IDs 118 y 155.</x:v>
      </x:c>
      <x:c r="M158" s="83" t="str">
        <x:v>ALTA</x:v>
      </x:c>
      <x:c r="N158" s="12" t="str">
        <x:v>ENLAZADO</x:v>
      </x:c>
    </x:row>
    <x:row r="159">
      <x:c r="A159" s="83" t="n">
        <x:v>158</x:v>
      </x:c>
      <x:c r="B159" s="83" t="str">
        <x:v>Teresa Morán de Trelles</x:v>
      </x:c>
      <x:c r="C159" s="83" t="str">
        <x:v>07/12/1666 (bautismo)</x:v>
      </x:c>
      <x:c r="D159" s="83" t="str">
        <x:v>Villacondide, Coaña (Asturias)</x:v>
      </x:c>
      <x:c r="E159" s="83" t="str"/>
      <x:c r="F159" s="83" t="str"/>
      <x:c r="G159" s="83" t="str">
        <x:v>NUEVA 11ª pasada: melliza documentada</x:v>
      </x:c>
      <x:c r="H159" s="83" t="str">
        <x:v>https://dialnet.unirioja.es/descarga/articulo/3016531.pdf</x:v>
      </x:c>
      <x:c r="I159" s="83" t="str"/>
      <x:c r="J159" s="83" t="str">
        <x:v>Bautizada el 07/12/1666 junto con su hermana melliza María. Fue apadrinada por el capitán Lope Suárez Trelles Coaña y Villamil y Antonia López de Trelles.</x:v>
      </x:c>
      <x:c r="K159" s="83" t="str">
        <x:v>Buscar matrimonio/defunción y distinguirla de otras Teresa de la familia.</x:v>
      </x:c>
      <x:c r="L159" s="83" t="str">
        <x:v>Hija de IDs 118 y 155. Melliza de María Morán (ID 159).</x:v>
      </x:c>
      <x:c r="M159" s="83" t="str">
        <x:v>ALTA</x:v>
      </x:c>
      <x:c r="N159" s="12" t="str">
        <x:v>ENLAZADO</x:v>
      </x:c>
    </x:row>
    <x:row r="160">
      <x:c r="A160" s="83" t="n">
        <x:v>159</x:v>
      </x:c>
      <x:c r="B160" s="83" t="str">
        <x:v>María Morán de Trelles (melliza de Teresa)</x:v>
      </x:c>
      <x:c r="C160" s="83" t="str">
        <x:v>07/12/1666 (bautismo)</x:v>
      </x:c>
      <x:c r="D160" s="83" t="str">
        <x:v>Villacondide, Coaña (Asturias)</x:v>
      </x:c>
      <x:c r="E160" s="83" t="str"/>
      <x:c r="F160" s="83" t="str"/>
      <x:c r="G160" s="83" t="str">
        <x:v>NUEVA 11ª pasada: melliza documentada</x:v>
      </x:c>
      <x:c r="H160" s="83" t="str">
        <x:v>https://dialnet.unirioja.es/descarga/articulo/3016531.pdf</x:v>
      </x:c>
      <x:c r="I160" s="83" t="str"/>
      <x:c r="J160" s="83" t="str">
        <x:v>Bautizada el 07/12/1666 junto con su melliza Teresa. Fue apadrinada por Lucas de Trelles Coaña y Villamil; la madrina pertenecía también a la red familiar Trelles.</x:v>
      </x:c>
      <x:c r="K160" s="83" t="str">
        <x:v>Buscar matrimonio/defunción y evitar confusión con su hermana María de 1662.</x:v>
      </x:c>
      <x:c r="L160" s="83" t="str">
        <x:v>Hija de IDs 118 y 155. Melliza de Teresa (ID 158). Hermana distinta de María bautizada en 1662 (ID 157).</x:v>
      </x:c>
      <x:c r="M160" s="83" t="str">
        <x:v>ALTA</x:v>
      </x:c>
      <x:c r="N160" s="12" t="str">
        <x:v>ENLAZADO</x:v>
      </x:c>
    </x:row>
    <x:row r="161">
      <x:c r="A161" s="83" t="n">
        <x:v>160</x:v>
      </x:c>
      <x:c r="B161" s="83" t="str">
        <x:v>Francisco Morán de Trelles (hijo de Alonso)</x:v>
      </x:c>
      <x:c r="C161" s="83" t="str">
        <x:v>17/04/1669 (bautismo)</x:v>
      </x:c>
      <x:c r="D161" s="83" t="str">
        <x:v>Villacondide, Coaña (Asturias)</x:v>
      </x:c>
      <x:c r="E161" s="83" t="str"/>
      <x:c r="F161" s="83" t="str"/>
      <x:c r="G161" s="83" t="str">
        <x:v>NUEVA 11ª pasada: bautismo documentado</x:v>
      </x:c>
      <x:c r="H161" s="83" t="str">
        <x:v>https://dialnet.unirioja.es/descarga/articulo/3016531.pdf</x:v>
      </x:c>
      <x:c r="I161" s="83" t="str"/>
      <x:c r="J161" s="83" t="str">
        <x:v>Bautizado el 17/04/1669. Padrinos: Domingo Fuertes Morán y Sierra y María Álvarez de Sierra, mujer de Francisco López de Trelles.</x:v>
      </x:c>
      <x:c r="K161" s="83" t="str">
        <x:v>Seguir en padrones de 1691, 1699 y 1717.</x:v>
      </x:c>
      <x:c r="L161" s="83" t="str">
        <x:v>Hijo de IDs 118 y 155.</x:v>
      </x:c>
      <x:c r="M161" s="83" t="str">
        <x:v>ALTA</x:v>
      </x:c>
      <x:c r="N161" s="12" t="str">
        <x:v>ENLAZADO</x:v>
      </x:c>
    </x:row>
    <x:row r="162">
      <x:c r="A162" s="83" t="n">
        <x:v>161</x:v>
      </x:c>
      <x:c r="B162" s="83" t="str">
        <x:v>Fernando Antonio Morán de Trelles</x:v>
      </x:c>
      <x:c r="C162" s="83" t="str">
        <x:v>10/05/1674 (bautismo)</x:v>
      </x:c>
      <x:c r="D162" s="83" t="str">
        <x:v>Villacondide, Coaña (Asturias)</x:v>
      </x:c>
      <x:c r="E162" s="83" t="str"/>
      <x:c r="F162" s="83" t="str"/>
      <x:c r="G162" s="83" t="str">
        <x:v>NUEVA 11ª pasada: bautismo documentado</x:v>
      </x:c>
      <x:c r="H162" s="83" t="str">
        <x:v>https://dialnet.unirioja.es/descarga/articulo/3016531.pdf</x:v>
      </x:c>
      <x:c r="I162" s="83" t="str"/>
      <x:c r="J162" s="83" t="str">
        <x:v>Bautizado el 10/05/1674. En padrones posteriores aparece como Fernando/Fernando Antonio, hijo legítimo de Alonso Morán y Lucía López.</x:v>
      </x:c>
      <x:c r="K162" s="83" t="str">
        <x:v>Buscar matrimonio, residencia y defunción.</x:v>
      </x:c>
      <x:c r="L162" s="83" t="str">
        <x:v>Hijo de IDs 118 y 155.</x:v>
      </x:c>
      <x:c r="M162" s="83" t="str">
        <x:v>ALTA</x:v>
      </x:c>
      <x:c r="N162" s="12" t="str">
        <x:v>ENLAZADO</x:v>
      </x:c>
    </x:row>
    <x:row r="163">
      <x:c r="A163" s="83" t="n">
        <x:v>162</x:v>
      </x:c>
      <x:c r="B163" s="83" t="str">
        <x:v>Catalina Morán de Trelles</x:v>
      </x:c>
      <x:c r="C163" s="83" t="str">
        <x:v>16/02/1677 (bautismo)</x:v>
      </x:c>
      <x:c r="D163" s="83" t="str">
        <x:v>Villacondide, Coaña (Asturias)</x:v>
      </x:c>
      <x:c r="E163" s="83" t="str"/>
      <x:c r="F163" s="83" t="str"/>
      <x:c r="G163" s="83" t="str">
        <x:v>NUEVA 11ª pasada: bautismo documentado</x:v>
      </x:c>
      <x:c r="H163" s="83" t="str">
        <x:v>https://dialnet.unirioja.es/descarga/articulo/3016531.pdf</x:v>
      </x:c>
      <x:c r="I163" s="83" t="str"/>
      <x:c r="J163" s="83" t="str">
        <x:v>Bautizada el 16/02/1677. Padrinos: Miguel Maseda y Aguiar y Catalina Álvarez de Trelles, hija de García Morán y Dominga.</x:v>
      </x:c>
      <x:c r="K163" s="83" t="str">
        <x:v>Buscar su matrimonio/defunción.</x:v>
      </x:c>
      <x:c r="L163" s="83" t="str">
        <x:v>Hija de IDs 118 y 155.</x:v>
      </x:c>
      <x:c r="M163" s="83" t="str">
        <x:v>ALTA</x:v>
      </x:c>
      <x:c r="N163" s="12" t="str">
        <x:v>ENLAZADO</x:v>
      </x:c>
    </x:row>
    <x:row r="164">
      <x:c r="A164" s="83" t="n">
        <x:v>163</x:v>
      </x:c>
      <x:c r="B164" s="83" t="str">
        <x:v>Lucía-Ana López Morán y Trelles</x:v>
      </x:c>
      <x:c r="C164" s="83" t="str">
        <x:v>15/04/1680 (bautismo)</x:v>
      </x:c>
      <x:c r="D164" s="83" t="str">
        <x:v>Villacondide, Coaña (Asturias)</x:v>
      </x:c>
      <x:c r="E164" s="83" t="str">
        <x:v>26/04/1758</x:v>
      </x:c>
      <x:c r="F164" s="134" t="str"/>
      <x:c r="G164" s="134" t="str">
        <x:v>NUEVA 11ª pasada: bautismo, matrimonio y defunción documentados</x:v>
      </x:c>
      <x:c r="H164" s="134" t="str">
        <x:v>https://dialnet.unirioja.es/descarga/articulo/3016531.pdf</x:v>
      </x:c>
      <x:c r="I164" s="134" t="str"/>
      <x:c r="J164" s="134" t="str">
        <x:v>Bautizada el 15/04/1680. Casó con Francisco Fernández del Valle. Fue enterrada en Villacondide el 26/04/1758. Había otorgado testamento ante José García Real y Trelles, vecino de Vivedro. 18ª pasada — CORRECCIÓN: La fuente confirma que fue enterrada en Villacondide el 26/04/1758, pero no expresa literalmente que falleciera allí.</x:v>
      </x:c>
      <x:c r="K164" s="83" t="str">
        <x:v>Consultar testamento y libro de entierros, fol. 61v, para completar descendencia.</x:v>
      </x:c>
      <x:c r="L164" s="83" t="str">
        <x:v>Hija de IDs 118 y 155. Esposa de Francisco Fernández del Valle (ID 164). Madre de Francisco del Valle y Trelles (ID 165), entre otros posibles hijos.</x:v>
      </x:c>
      <x:c r="M164" s="83" t="str">
        <x:v>ALTA</x:v>
      </x:c>
      <x:c r="N164" s="12" t="str">
        <x:v>ENLAZADO</x:v>
      </x:c>
    </x:row>
    <x:row r="165">
      <x:c r="A165" s="83" t="n">
        <x:v>164</x:v>
      </x:c>
      <x:c r="B165" s="83" t="str">
        <x:v>Francisco Fernández del Valle</x:v>
      </x:c>
      <x:c r="C165" s="83" t="str"/>
      <x:c r="D165" s="83" t="str">
        <x:v>Asturias occidental</x:v>
      </x:c>
      <x:c r="E165" s="83" t="str"/>
      <x:c r="F165" s="83" t="str"/>
      <x:c r="G165" s="83" t="str">
        <x:v>NUEVA 11ª pasada: cónyuge documentado</x:v>
      </x:c>
      <x:c r="H165" s="83" t="str">
        <x:v>https://dialnet.unirioja.es/descarga/articulo/3016531.pdf</x:v>
      </x:c>
      <x:c r="I165" s="83" t="str"/>
      <x:c r="J165" s="83" t="str">
        <x:v>Esposo de Lucía-Ana López Morán y Trelles. La documentación de la familia los vincula con Villacondide y la rama del Valle/Trelles.</x:v>
      </x:c>
      <x:c r="K165" s="83" t="str">
        <x:v>Buscar matrimonio y padrones para padres y fechas.</x:v>
      </x:c>
      <x:c r="L165" s="83" t="str">
        <x:v>Esposo de Lucía-Ana (ID 163). Padre de Francisco del Valle y Trelles (ID 165).</x:v>
      </x:c>
      <x:c r="M165" s="83" t="str">
        <x:v>ALTA relación</x:v>
      </x:c>
      <x:c r="N165" s="12" t="str">
        <x:v>ENLAZADO</x:v>
      </x:c>
    </x:row>
    <x:row r="166">
      <x:c r="A166" s="83" t="n">
        <x:v>165</x:v>
      </x:c>
      <x:c r="B166" s="83" t="str">
        <x:v>Francisco del Valle y Trelles</x:v>
      </x:c>
      <x:c r="C166" s="83" t="str"/>
      <x:c r="D166" s="83" t="str">
        <x:v>Asturias occidental</x:v>
      </x:c>
      <x:c r="E166" s="83" t="str"/>
      <x:c r="F166" s="83" t="str"/>
      <x:c r="G166" s="83" t="str">
        <x:v>NUEVA 11ª pasada: hijo documentado</x:v>
      </x:c>
      <x:c r="H166" s="83" t="str">
        <x:v>https://dialnet.unirioja.es/descarga/articulo/3016531.pdf</x:v>
      </x:c>
      <x:c r="I166" s="83" t="str"/>
      <x:c r="J166" s="83" t="str">
        <x:v>Consta como hijo de Lucía-Ana y Francisco Fernández del Valle; fue cura de la parroquia de Navia y actuó como testamentario de su madre.</x:v>
      </x:c>
      <x:c r="K166" s="83" t="str">
        <x:v>Buscar expediente eclesiástico y partida bautismal.</x:v>
      </x:c>
      <x:c r="L166" s="83" t="str">
        <x:v>Hijo de Lucía-Ana López Morán y Trelles (ID 163) y Francisco Fernández del Valle (ID 164).</x:v>
      </x:c>
      <x:c r="M166" s="83" t="str">
        <x:v>ALTA</x:v>
      </x:c>
      <x:c r="N166" s="12" t="str">
        <x:v>ENLAZADO</x:v>
      </x:c>
    </x:row>
    <x:row r="167">
      <x:c r="A167" s="83" t="n">
        <x:v>166</x:v>
      </x:c>
      <x:c r="B167" s="83" t="str">
        <x:v>Antonio Alonso San Julián y Aguiar</x:v>
      </x:c>
      <x:c r="C167" s="83" t="str"/>
      <x:c r="D167" s="83" t="str">
        <x:v>Campos / Castropol (Asturias)</x:v>
      </x:c>
      <x:c r="E167" s="83" t="str"/>
      <x:c r="F167" s="83" t="str"/>
      <x:c r="G167" s="83" t="str">
        <x:v>NUEVA 11ª pasada: cónyuge documentado</x:v>
      </x:c>
      <x:c r="H167" s="83" t="str">
        <x:v>https://dialnet.unirioja.es/descarga/articulo/3016531.pdf</x:v>
      </x:c>
      <x:c r="I167" s="83" t="str"/>
      <x:c r="J167" s="83" t="str">
        <x:v>Casó con Catalina Álvarez Morán Trelles y Villamil el 29/08/1695. Vivieron en Campos (Castropol). La pareja no tuvo sucesión.</x:v>
      </x:c>
      <x:c r="K167" s="83" t="str">
        <x:v>Buscar partida matrimonial y filiación de Antonio Alonso.</x:v>
      </x:c>
      <x:c r="L167" s="83" t="str">
        <x:v>Esposo de Catalina Álvarez Morán Trelles y Villamil (ID 154).</x:v>
      </x:c>
      <x:c r="M167" s="83" t="str">
        <x:v>ALTA</x:v>
      </x:c>
      <x:c r="N167" s="12" t="str">
        <x:v>ENLAZADO</x:v>
      </x:c>
    </x:row>
    <x:row r="168">
      <x:c r="A168" s="92" t="n">
        <x:v>167</x:v>
      </x:c>
      <x:c r="B168" s="92" t="str">
        <x:v>Alonso González de Coaña</x:v>
      </x:c>
      <x:c r="C168" s="92" t="str"/>
      <x:c r="D168" s="92" t="str">
        <x:v>Coaña / Meiro (Asturias)</x:v>
      </x:c>
      <x:c r="E168" s="92" t="str"/>
      <x:c r="F168" s="92" t="str"/>
      <x:c r="G168" s="92" t="str">
        <x:v>NUEVA 12ª pasada: antepasado directo documentado por testamento familiar</x:v>
      </x:c>
      <x:c r="H168" s="92" t="str">
        <x:v>https://dialnet.unirioja.es/descarga/articulo/3016531.pdf</x:v>
      </x:c>
      <x:c r="I168" s="92" t="str"/>
      <x:c r="J168" s="140" t="str">
        <x:v>El testamento de Benito Trelles declara que su abuelo paterno Lope Suárez de Coaña/Trelles y Villamil era hijo de Alonso González de Coaña y Catalina Suárez de Trelles. Añade que Alonso González era hijo de Álvaro González de Coaña. 20ª pasada: la genealogía histórica sitúa a Alonso González de Coaña como señor de la casa de Meiro; esto acredita vinculación/residencia patrimonial, no nacimiento.</x:v>
      </x:c>
      <x:c r="K168" s="92" t="str">
        <x:v>Contrastar con pruebas de hábito de Santiago y documentación de la casa de Coaña.</x:v>
      </x:c>
      <x:c r="L168" s="92" t="str">
        <x:v>Padre de Lope Suárez de Meiro/Trelles y Villamil (ID 87). Esposo de Catalina Suárez de Trelles (ID 168). Hijo de Álvaro González de Coaña (ID 170).</x:v>
      </x:c>
      <x:c r="M168" s="92" t="str">
        <x:v>ALTA</x:v>
      </x:c>
      <x:c r="N168" s="92" t="str">
        <x:v>ENLAZADO</x:v>
      </x:c>
    </x:row>
    <x:row r="169">
      <x:c r="A169" s="92" t="n">
        <x:v>168</x:v>
      </x:c>
      <x:c r="B169" s="92" t="str">
        <x:v>Catalina Suárez de Trelles (esposa de Alonso González de Coaña)</x:v>
      </x:c>
      <x:c r="C169" s="92" t="str"/>
      <x:c r="D169" s="92" t="str">
        <x:v>Asturias occidental</x:v>
      </x:c>
      <x:c r="E169" s="92" t="str"/>
      <x:c r="F169" s="92" t="str"/>
      <x:c r="G169" s="92" t="str">
        <x:v>NUEVA 12ª pasada: antepasada directa documentada</x:v>
      </x:c>
      <x:c r="H169" s="92" t="str">
        <x:v>https://dialnet.unirioja.es/descarga/articulo/3016531.pdf</x:v>
      </x:c>
      <x:c r="I169" s="92" t="str"/>
      <x:c r="J169" s="92" t="str">
        <x:v>El testamento de Benito Trelles la identifica como esposa de Alonso González de Coaña y madre de Lope Suárez. Indica además que era hija de Arias de Trelles y descendiente por varonía del solar de Trelles.</x:v>
      </x:c>
      <x:c r="K169" s="92" t="str">
        <x:v>Buscar las pruebas de hábito y documentos del solar de Trelles para precisar generación y lugar.</x:v>
      </x:c>
      <x:c r="L169" s="92" t="str">
        <x:v>Madre de Lope Suárez de Meiro/Trelles y Villamil (ID 87). Esposa de Alonso González de Coaña (ID 167). Hija de Arias de Trelles (ID 169).</x:v>
      </x:c>
      <x:c r="M169" s="92" t="str">
        <x:v>ALTA</x:v>
      </x:c>
      <x:c r="N169" s="92" t="str">
        <x:v>ENLAZADO</x:v>
      </x:c>
    </x:row>
    <x:row r="170">
      <x:c r="A170" s="92" t="n">
        <x:v>169</x:v>
      </x:c>
      <x:c r="B170" s="140" t="str">
        <x:v>Arias de Trelles / Gómez Arias de Trelles (conflicto de fuentes)</x:v>
      </x:c>
      <x:c r="C170" s="140" t="str"/>
      <x:c r="D170" s="140" t="str">
        <x:v>Asturias occidental</x:v>
      </x:c>
      <x:c r="E170" s="140" t="str"/>
      <x:c r="F170" s="140" t="str"/>
      <x:c r="G170" s="140" t="str">
        <x:v>20ª pasada: conflicto nominal en la generación anterior de Catalina Suárez</x:v>
      </x:c>
      <x:c r="H170" s="140" t="str">
        <x:v>https://dialnet.unirioja.es/descarga/articulo/3016531.pdf</x:v>
      </x:c>
      <x:c r="I170" s="140" t="str">
        <x:v>https://idus.us.es/server/api/core/bitstreams/4d5a11bd-b8ae-4c90-b1c9-2c58368d1a8c/content</x:v>
      </x:c>
      <x:c r="J170" s="140" t="str">
        <x:v>El testamento de Benito Trelles, tal como lo reproduce Gonzalo Anes, dice que Catalina Suárez de Trelles era hija de «Arias de Trelles». Sin embargo, la genealogía de José Manuel Trelles Villademoros la hace hija de «Gómez Arias de Trelles». La diferencia puede ser una abreviación/transmisión del nombre o reflejar dos tradiciones distintas; no se fusiona como hecho probado.</x:v>
      </x:c>
      <x:c r="K170" s="140" t="str">
        <x:v>Comparar el testamento original de Benito Trelles con la edición de Asturias Ilustrada y los padrones de Trelles de 1524–1554.</x:v>
      </x:c>
      <x:c r="L170" s="140" t="str">
        <x:v>Padre de Catalina Suárez de Trelles (ID 168). Posible identidad con Gómez Ares de Trelles (ID 121), documentado en los padrones desde 1524.</x:v>
      </x:c>
      <x:c r="M170" s="140" t="str">
        <x:v>MEDIA-ALTA como padre de Catalina / MEDIA identidad con ID121</x:v>
      </x:c>
      <x:c r="N170" s="140" t="str">
        <x:v>ENLAZADO CON HIPÓTESIS</x:v>
      </x:c>
    </x:row>
    <x:row r="171">
      <x:c r="A171" s="92" t="n">
        <x:v>170</x:v>
      </x:c>
      <x:c r="B171" s="92" t="str">
        <x:v>Álvaro González de Coaña</x:v>
      </x:c>
      <x:c r="C171" s="92" t="str"/>
      <x:c r="D171" s="92" t="str">
        <x:v>Coaña (Asturias)</x:v>
      </x:c>
      <x:c r="E171" s="92" t="str"/>
      <x:c r="F171" s="92" t="str"/>
      <x:c r="G171" s="92" t="str">
        <x:v>NUEVA 12ª pasada: antepasado directo documentado</x:v>
      </x:c>
      <x:c r="H171" s="92" t="str">
        <x:v>https://dialnet.unirioja.es/descarga/articulo/3016531.pdf</x:v>
      </x:c>
      <x:c r="I171" s="92" t="str"/>
      <x:c r="J171" s="140" t="str">
        <x:v>El testamento de Benito Trelles afirma que Alonso González de Coaña era hijo de Álvaro González de Coaña y nieto de Gonzalo Pérez Pico de Coaña. 20ª pasada: Álvaro González de Coaña aparece como señor de la casa y solar de Meiro en tiempo de los Reyes Católicos; no se toma como lugar de nacimiento.</x:v>
      </x:c>
      <x:c r="K171" s="92" t="str">
        <x:v>Buscar documentación patrimonial de la casa solar de Coaña y Folgueras.</x:v>
      </x:c>
      <x:c r="L171" s="92" t="str">
        <x:v>Padre de Alonso González de Coaña (ID 167). Hijo de Gonzalo Pérez Pico de Coaña (ID 171).</x:v>
      </x:c>
      <x:c r="M171" s="92" t="str">
        <x:v>ALTA</x:v>
      </x:c>
      <x:c r="N171" s="92" t="str">
        <x:v>ENLAZADO</x:v>
      </x:c>
    </x:row>
    <x:row r="172">
      <x:c r="A172" s="92" t="n">
        <x:v>171</x:v>
      </x:c>
      <x:c r="B172" s="92" t="str">
        <x:v>Gonzalo Pérez Pico de Coaña</x:v>
      </x:c>
      <x:c r="C172" s="92" t="str"/>
      <x:c r="D172" s="92" t="str">
        <x:v>Coaña (Asturias)</x:v>
      </x:c>
      <x:c r="E172" s="92" t="str"/>
      <x:c r="F172" s="92" t="str"/>
      <x:c r="G172" s="92" t="str">
        <x:v>NUEVA 12ª pasada: antepasado directo más antiguo de la rama Coaña</x:v>
      </x:c>
      <x:c r="H172" s="92" t="str">
        <x:v>https://dialnet.unirioja.es/descarga/articulo/3016531.pdf</x:v>
      </x:c>
      <x:c r="I172" s="92" t="str"/>
      <x:c r="J172" s="156" t="str">
        <x:v>25ª pasada: sigue siendo el extremo más antiguo DOCUMENTADO con alta calidad de la rama Coaña. El testamento de Benito Trelles dice que Gonzalo Pérez Pico era hijo segundo del poseedor de la casa solar de Coaña y que recibió por herencia Meiro, Nadou y Castañeira. El padre no aparece nombrado.</x:v>
      </x:c>
      <x:c r="K172" s="156" t="str">
        <x:v>Buscar documentación tardomedieval de la casa solar de Coaña que nombre al padre de Gonzalo Pérez Pico.</x:v>
      </x:c>
      <x:c r="L172" s="92" t="str">
        <x:v>Padre de Álvaro González de Coaña (ID 170). Tatarabuelo por línea paterna de Gonzalo Méndez de Coaña/Meiro (ID 84).</x:v>
      </x:c>
      <x:c r="M172" s="156" t="str">
        <x:v>ALTA para Gonzalo/Álvaro; padre anterior sin identificar</x:v>
      </x:c>
      <x:c r="N172" s="92" t="str">
        <x:v>ENLAZADO</x:v>
      </x:c>
    </x:row>
    <x:row r="173">
      <x:c r="A173" s="92" t="n">
        <x:v>172</x:v>
      </x:c>
      <x:c r="B173" s="92" t="str">
        <x:v>Fernando González de Trelles</x:v>
      </x:c>
      <x:c r="C173" s="92" t="str"/>
      <x:c r="D173" s="92" t="str">
        <x:v>Trelles / Pumarín (Asturias)</x:v>
      </x:c>
      <x:c r="E173" s="92" t="str"/>
      <x:c r="F173" s="92" t="str"/>
      <x:c r="G173" s="92" t="str">
        <x:v>NUEVA 12ª pasada: hijo explícito en padrones de 1620</x:v>
      </x:c>
      <x:c r="H173" s="92" t="str">
        <x:v>https://dialnet.unirioja.es/descarga/articulo/3016531.pdf</x:v>
      </x:c>
      <x:c r="I173" s="92" t="str"/>
      <x:c r="J173" s="92" t="str">
        <x:v>El padrón de 1620 lo incluye entre los hermanos e hijos legítimos de Suero González de Trelles y María Alonso de Coaña Infanzón. Es distinto del Fernando Fernández de la generación anterior.</x:v>
      </x:c>
      <x:c r="K173" s="92" t="str">
        <x:v>Buscar matrimonio y descendencia en padrones posteriores.</x:v>
      </x:c>
      <x:c r="L173" s="92" t="str">
        <x:v>Hijo de Suero González de Trelles (ID 79) y María Alfonso/Alonso Infanzón (ID 80). Hermano de Catalina (ID 83), García Morán (ID 96) y otros.</x:v>
      </x:c>
      <x:c r="M173" s="92" t="str">
        <x:v>ALTA</x:v>
      </x:c>
      <x:c r="N173" s="92" t="str">
        <x:v>ENLAZADO</x:v>
      </x:c>
    </x:row>
    <x:row r="174">
      <x:c r="A174" s="92" t="n">
        <x:v>173</x:v>
      </x:c>
      <x:c r="B174" s="92" t="str">
        <x:v>Juan García (hijo de Suero González de Trelles)</x:v>
      </x:c>
      <x:c r="C174" s="92" t="str"/>
      <x:c r="D174" s="92" t="str">
        <x:v>Trelles / Pumarín (Asturias)</x:v>
      </x:c>
      <x:c r="E174" s="92" t="str"/>
      <x:c r="F174" s="92" t="str"/>
      <x:c r="G174" s="92" t="str">
        <x:v>NUEVA 12ª pasada: hijo explícito en padrones de 1620–1632</x:v>
      </x:c>
      <x:c r="H174" s="92" t="str">
        <x:v>https://dialnet.unirioja.es/descarga/articulo/3016531.pdf</x:v>
      </x:c>
      <x:c r="I174" s="92" t="str"/>
      <x:c r="J174" s="92" t="str">
        <x:v>Los padrones de 1620, 1626 y 1632 lo incluyen como hijo legítimo de Suero González de Trelles y María Alonso Infanzón. Debe mantenerse separado del Juan García que figura como hijo de Fernando Fernández en 1584/1590.</x:v>
      </x:c>
      <x:c r="K174" s="92" t="str">
        <x:v>Seguir en padrones y protocolos para matrimonio/descendencia.</x:v>
      </x:c>
      <x:c r="L174" s="92" t="str">
        <x:v>Hijo de IDs 79 y 80. Hermano de Catalina (ID 83), Alonso (ID 98), Lucas (ID 100), Diego García (ID 114), Gonzalo (ID 115), etc.</x:v>
      </x:c>
      <x:c r="M174" s="92" t="str">
        <x:v>ALTA</x:v>
      </x:c>
      <x:c r="N174" s="92" t="str">
        <x:v>ENLAZADO</x:v>
      </x:c>
    </x:row>
    <x:row r="175">
      <x:c r="A175" s="109" t="n">
        <x:v>174</x:v>
      </x:c>
      <x:c r="B175" s="109" t="str">
        <x:v>Gómez Ares de Trelles (seglar, documentado en 1572)</x:v>
      </x:c>
      <x:c r="C175" s="109" t="str"/>
      <x:c r="D175" s="109" t="str">
        <x:v>Trelles (Asturias)</x:v>
      </x:c>
      <x:c r="E175" s="109" t="str"/>
      <x:c r="F175" s="109" t="str"/>
      <x:c r="G175" s="109" t="str">
        <x:v>NUEVA 15ª pasada: segundo homónimo separado del clérigo</x:v>
      </x:c>
      <x:c r="H175" s="109" t="str">
        <x:v>https://dialnet.unirioja.es/descarga/articulo/4151486.pdf</x:v>
      </x:c>
      <x:c r="I175" s="109" t="str"/>
      <x:c r="J175" s="109" t="str">
        <x:v>El padrón de 1572 enumera por separado «García Gómez, Gómez Ares y el clérigo Gómez Ares». Esto demuestra que el Gómez Ares seglar y el clérigo eran dos personas distintas. No hay filiación explícita en la transcripción.</x:v>
      </x:c>
      <x:c r="K175" s="120" t="str">
        <x:v>16ª pasada: no aparece fuera del padrón de 1572 una referencia abierta inequívoca a este Gómez Ares seglar. Hay que consultar padrones originales 1561/1566/1572 o protocolos.</x:v>
      </x:c>
      <x:c r="L175" s="120" t="str">
        <x:v>Miembro del solar de Trelles; homónimo contemporáneo del Gómez Ares clérigo (ID121). Relación familiar exacta desconocida.</x:v>
      </x:c>
      <x:c r="M175" s="120" t="str">
        <x:v>ALTA como persona / BAJA parentesco</x:v>
      </x:c>
      <x:c r="N175" s="120" t="str">
        <x:v>CANDIDATO NO ENLAZADO</x:v>
      </x:c>
    </x:row>
    <x:row r="176">
      <x:c r="A176" s="152" t="n">
        <x:v>175</x:v>
      </x:c>
      <x:c r="B176" s="152" t="str">
        <x:v>Alonso Fernández del Valle y Trelles</x:v>
      </x:c>
      <x:c r="C176" s="152" t="str"/>
      <x:c r="D176" s="152" t="str">
        <x:v>Villacondide / La Murola (Asturias)</x:v>
      </x:c>
      <x:c r="E176" s="152" t="str">
        <x:v>10/07/1739</x:v>
      </x:c>
      <x:c r="F176" s="152" t="str"/>
      <x:c r="G176" s="152" t="str">
        <x:v>NUEVA 23ª pasada: matrimonio, vecindad y entierro documentados</x:v>
      </x:c>
      <x:c r="H176" s="152" t="str">
        <x:v>https://dialnet.unirioja.es/descarga/articulo/3016531.pdf</x:v>
      </x:c>
      <x:c r="I176" s="152" t="str"/>
      <x:c r="J176" s="152" t="str">
        <x:v>Viudo de María Méndez Morán y vecino de la casa de La Murola, parroquia de Villacondide. Fue sepultado en la capilla mayor de San Cosme de Villacondide el 10/07/1739. La partida dice que había hecho testamento el 07/07/1739. El lugar físico de muerte no se explicita.</x:v>
      </x:c>
      <x:c r="K176" s="152" t="str">
        <x:v>Buscar partida matrimonial y bautismo para fijar lugar de nacimiento exacto.</x:v>
      </x:c>
      <x:c r="L176" s="152" t="str">
        <x:v>Esposo de María Méndez Trelles y Morán (ID141). Padre de María Francisca del Valle y Trelles (ID176).</x:v>
      </x:c>
      <x:c r="M176" s="152" t="str">
        <x:v>ALTA</x:v>
      </x:c>
      <x:c r="N176" s="152" t="str">
        <x:v>ENLAZADO</x:v>
      </x:c>
    </x:row>
    <x:row r="177">
      <x:c r="A177" s="152" t="n">
        <x:v>176</x:v>
      </x:c>
      <x:c r="B177" s="152" t="str">
        <x:v>María Francisca del Valle y Trelles</x:v>
      </x:c>
      <x:c r="C177" s="152" t="str"/>
      <x:c r="D177" s="152" t="str">
        <x:v>Villacondide / La Murola (Asturias)</x:v>
      </x:c>
      <x:c r="E177" s="152" t="str">
        <x:v>03/05/1760</x:v>
      </x:c>
      <x:c r="F177" s="152" t="str">
        <x:v>Villacondide, Coaña (Asturias)</x:v>
      </x:c>
      <x:c r="G177" s="152" t="str">
        <x:v>NUEVA 23ª pasada: filiación, matrimonios y defunción documentados</x:v>
      </x:c>
      <x:c r="H177" s="152" t="str">
        <x:v>https://dialnet.unirioja.es/descarga/articulo/3016531.pdf</x:v>
      </x:c>
      <x:c r="I177" s="152" t="str"/>
      <x:c r="J177" s="152" t="str">
        <x:v>Hija legítima de Alonso Fernández del Valle y Trelles y María Méndez Trelles y Morán. Casó primero con Juan García Infanzón y Omaña; viuda de éste, casó en Villacondide el 03/06/1744 con Bernardo García del Real. La tabla genealógica del estudio indica expresamente «+ 3-5-1760 en Villacondide».</x:v>
      </x:c>
      <x:c r="K177" s="152" t="str">
        <x:v>Buscar bautismo para fecha y lugar exactos de nacimiento.</x:v>
      </x:c>
      <x:c r="L177" s="152" t="str">
        <x:v>Hija de IDs 175 y 141. Esposa de Juan García Infanzón y Omaña (ID177) y después de Bernardo García del Real (ID179). Madre de Francisco-Antonio-Pablo (ID178).</x:v>
      </x:c>
      <x:c r="M177" s="152" t="str">
        <x:v>ALTA</x:v>
      </x:c>
      <x:c r="N177" s="152" t="str">
        <x:v>ENLAZADO</x:v>
      </x:c>
    </x:row>
    <x:row r="178">
      <x:c r="A178" s="152" t="n">
        <x:v>177</x:v>
      </x:c>
      <x:c r="B178" s="152" t="str">
        <x:v>Juan García Infanzón y Omaña</x:v>
      </x:c>
      <x:c r="C178" s="152" t="str"/>
      <x:c r="D178" s="152" t="str">
        <x:v>Coaña (Asturias)</x:v>
      </x:c>
      <x:c r="E178" s="152" t="str">
        <x:v>antes de 03/06/1744</x:v>
      </x:c>
      <x:c r="F178" s="152" t="str"/>
      <x:c r="G178" s="152" t="str">
        <x:v>NUEVA 23ª pasada: esposo y naturalidad documentados</x:v>
      </x:c>
      <x:c r="H178" s="152" t="str">
        <x:v>https://dialnet.unirioja.es/descarga/articulo/3016531.pdf</x:v>
      </x:c>
      <x:c r="I178" s="152" t="str"/>
      <x:c r="J178" s="152" t="str">
        <x:v>La tabla genealógica lo da como bautizado/natural en Coaña y esposo de María Francisca del Valle y Trelles. Había fallecido antes del segundo matrimonio de ella, celebrado el 03/06/1744.</x:v>
      </x:c>
      <x:c r="K178" s="152" t="str">
        <x:v>Buscar partida de bautismo en Coaña y defunción anterior a junio de 1744.</x:v>
      </x:c>
      <x:c r="L178" s="152" t="str">
        <x:v>Primer esposo de María Francisca del Valle y Trelles (ID176). Padre de Francisco-Antonio-Pablo García Infanzón y Omaña (ID178).</x:v>
      </x:c>
      <x:c r="M178" s="152" t="str">
        <x:v>ALTA</x:v>
      </x:c>
      <x:c r="N178" s="152" t="str">
        <x:v>ENLAZADO</x:v>
      </x:c>
    </x:row>
    <x:row r="179">
      <x:c r="A179" s="152" t="n">
        <x:v>178</x:v>
      </x:c>
      <x:c r="B179" s="152" t="str">
        <x:v>Francisco-Antonio-Pablo García Infanzón y Omaña</x:v>
      </x:c>
      <x:c r="C179" s="152" t="str">
        <x:v>30/06/1742</x:v>
      </x:c>
      <x:c r="D179" s="152" t="str">
        <x:v>Villacondide, Coaña (Asturias)</x:v>
      </x:c>
      <x:c r="E179" s="152" t="str">
        <x:v>enero de 1808</x:v>
      </x:c>
      <x:c r="F179" s="152" t="str">
        <x:v>La Murola, Villacondide, Coaña (Asturias)</x:v>
      </x:c>
      <x:c r="G179" s="152" t="str">
        <x:v>NUEVA 23ª pasada: nacimiento y defunción documentados</x:v>
      </x:c>
      <x:c r="H179" s="152" t="str">
        <x:v>https://dialnet.unirioja.es/descarga/articulo/3016531.pdf</x:v>
      </x:c>
      <x:c r="I179" s="152" t="str"/>
      <x:c r="J179" s="155" t="str">
        <x:v>Bautizado/nacido en Villacondide el 30/06/1742 según la tabla genealógica. Gonzalo Anes afirma que falleció en su casa de La Murola, Villacondide, en enero de 1808; fue enterrado en Villacondide el 19/01/1808. 24ª pasada: se añade su esposa Bárbara Cienfuegos (ID182) y los diez hijos documentados en los libros parroquiales de Villacondide (IDs183-192).</x:v>
      </x:c>
      <x:c r="K179" s="155" t="str">
        <x:v>Consultar partida completa de entierro para fijar el día exacto de fallecimiento.</x:v>
      </x:c>
      <x:c r="L179" s="155" t="str">
        <x:v>Hijo de IDs177 y 176. Esposo de Bárbara Cienfuegos (ID182). Padre de IDs183-192.</x:v>
      </x:c>
      <x:c r="M179" s="152" t="str">
        <x:v>ALTA</x:v>
      </x:c>
      <x:c r="N179" s="152" t="str">
        <x:v>ENLAZADO</x:v>
      </x:c>
    </x:row>
    <x:row r="180">
      <x:c r="A180" s="152" t="n">
        <x:v>179</x:v>
      </x:c>
      <x:c r="B180" s="152" t="str">
        <x:v>Bernardo García del Real</x:v>
      </x:c>
      <x:c r="C180" s="152" t="str"/>
      <x:c r="D180" s="152" t="str">
        <x:v>Trelles / concejo de Coaña (Asturias)</x:v>
      </x:c>
      <x:c r="E180" s="152" t="str">
        <x:v>1754</x:v>
      </x:c>
      <x:c r="F180" s="152" t="str"/>
      <x:c r="G180" s="152" t="str">
        <x:v>NUEVA 23ª pasada: segundo esposo documentado</x:v>
      </x:c>
      <x:c r="H180" s="152" t="str">
        <x:v>https://dialnet.unirioja.es/descarga/articulo/3016531.pdf</x:v>
      </x:c>
      <x:c r="I180" s="152" t="str"/>
      <x:c r="J180" s="152" t="str">
        <x:v>Casó con María Francisca del Valle y Trelles en Villacondide el 03/06/1744. La partida matrimonial dice que era hijo de Juan García del Real y Juana Fernández, ambos ya difuntos, vecinos que habían sido de Trelles. Falleció en 1754 y fue sepultado el 07/02/1754; el lugar físico de muerte no se explicita.</x:v>
      </x:c>
      <x:c r="K180" s="152" t="str">
        <x:v>Buscar bautismo y partida de defunción para lugar exacto de nacimiento/muerte.</x:v>
      </x:c>
      <x:c r="L180" s="152" t="str">
        <x:v>Segundo esposo de María Francisca del Valle y Trelles (ID176). Hijo de Juan García del Real (ID180) y Juana Fernández (ID181).</x:v>
      </x:c>
      <x:c r="M180" s="152" t="str">
        <x:v>ALTA</x:v>
      </x:c>
      <x:c r="N180" s="152" t="str">
        <x:v>ENLAZADO</x:v>
      </x:c>
    </x:row>
    <x:row r="181">
      <x:c r="A181" s="152" t="n">
        <x:v>180</x:v>
      </x:c>
      <x:c r="B181" s="152" t="str">
        <x:v>Juan García del Real</x:v>
      </x:c>
      <x:c r="C181" s="152" t="str"/>
      <x:c r="D181" s="152" t="str">
        <x:v>Trelles, Coaña (Asturias) [vecino; nacimiento no probado]</x:v>
      </x:c>
      <x:c r="E181" s="152" t="str">
        <x:v>antes de 03/06/1744</x:v>
      </x:c>
      <x:c r="F181" s="152" t="str"/>
      <x:c r="G181" s="152" t="str">
        <x:v>NUEVA 23ª pasada: padre documentado por partida matrimonial</x:v>
      </x:c>
      <x:c r="H181" s="152" t="str">
        <x:v>https://dialnet.unirioja.es/descarga/articulo/3016531.pdf</x:v>
      </x:c>
      <x:c r="I181" s="152" t="str"/>
      <x:c r="J181" s="152" t="str">
        <x:v>La partida matrimonial de su hijo Bernardo indica que Juan García del Real y Juana Fernández eran ya difuntos y habían sido vecinos de la feligresía de Trelles. No se convierte esa vecindad en nacimiento confirmado.</x:v>
      </x:c>
      <x:c r="K181" s="152" t="str">
        <x:v>Buscar padrón de Trelles y bautismo para fijar naturalidad.</x:v>
      </x:c>
      <x:c r="L181" s="152" t="str">
        <x:v>Padre de Bernardo García del Real (ID179). Esposo de Juana Fernández (ID181).</x:v>
      </x:c>
      <x:c r="M181" s="152" t="str">
        <x:v>ALTA parentesco / MEDIA lugar</x:v>
      </x:c>
      <x:c r="N181" s="152" t="str">
        <x:v>ENLAZADO</x:v>
      </x:c>
    </x:row>
    <x:row r="182">
      <x:c r="A182" s="152" t="n">
        <x:v>181</x:v>
      </x:c>
      <x:c r="B182" s="152" t="str">
        <x:v>Juana Fernández (esposa de Juan García del Real)</x:v>
      </x:c>
      <x:c r="C182" s="152" t="str"/>
      <x:c r="D182" s="152" t="str">
        <x:v>Trelles, Coaña (Asturias) [vecina; nacimiento no probado]</x:v>
      </x:c>
      <x:c r="E182" s="152" t="str">
        <x:v>antes de 03/06/1744</x:v>
      </x:c>
      <x:c r="F182" s="152" t="str"/>
      <x:c r="G182" s="152" t="str">
        <x:v>NUEVA 23ª pasada: madre documentada por partida matrimonial</x:v>
      </x:c>
      <x:c r="H182" s="152" t="str">
        <x:v>https://dialnet.unirioja.es/descarga/articulo/3016531.pdf</x:v>
      </x:c>
      <x:c r="I182" s="152" t="str"/>
      <x:c r="J182" s="152" t="str">
        <x:v>La partida matrimonial de su hijo Bernardo indica que ella y Juan García del Real eran ya difuntos y habían sido vecinos de Trelles.</x:v>
      </x:c>
      <x:c r="K182" s="152" t="str">
        <x:v>Buscar padrón/bautismo de Trelles para naturalidad y familia.</x:v>
      </x:c>
      <x:c r="L182" s="152" t="str">
        <x:v>Madre de Bernardo García del Real (ID179). Esposa de Juan García del Real (ID180).</x:v>
      </x:c>
      <x:c r="M182" s="152" t="str">
        <x:v>ALTA parentesco / MEDIA lugar</x:v>
      </x:c>
      <x:c r="N182" s="152" t="str">
        <x:v>ENLAZADO</x:v>
      </x:c>
    </x:row>
    <x:row r="183">
      <x:c r="A183" s="155" t="n">
        <x:v>182</x:v>
      </x:c>
      <x:c r="B183" s="155" t="str">
        <x:v>Bárbara Cienfuegos</x:v>
      </x:c>
      <x:c r="C183" s="155" t="str"/>
      <x:c r="D183" s="155" t="str">
        <x:v>Villacondide, Coaña (Asturias)</x:v>
      </x:c>
      <x:c r="E183" s="155" t="str"/>
      <x:c r="F183" s="155" t="str"/>
      <x:c r="G183" s="155" t="str">
        <x:v>NUEVA 24ª pasada: esposa y madre documentada</x:v>
      </x:c>
      <x:c r="H183" s="155" t="str">
        <x:v>https://dialnet.unirioja.es/descarga/articulo/3016531.pdf</x:v>
      </x:c>
      <x:c r="I183" s="155" t="str"/>
      <x:c r="J183" s="155" t="str">
        <x:v>Casó en Villacondide el 21/04/1763 con Francisco-Antonio-Pablo García Infanzón y Omaña. Una partida de 1853 declara expresamente que Bárbara Cienfuegos y su marido eran naturales de Villacondide.</x:v>
      </x:c>
      <x:c r="K183" s="155" t="str">
        <x:v>Buscar partida de bautismo para fecha exacta y padres.</x:v>
      </x:c>
      <x:c r="L183" s="155" t="str">
        <x:v>Esposa de Francisco-Antonio-Pablo García Infanzón y Omaña (ID178). Madre de IDs183-192.</x:v>
      </x:c>
      <x:c r="M183" s="155" t="str">
        <x:v>ALTA</x:v>
      </x:c>
      <x:c r="N183" s="155" t="str">
        <x:v>ENLAZADO</x:v>
      </x:c>
    </x:row>
    <x:row r="184">
      <x:c r="A184" s="155" t="n">
        <x:v>183</x:v>
      </x:c>
      <x:c r="B184" s="155" t="str">
        <x:v>María Antonia Cayetana García Infanzón y Cienfuegos</x:v>
      </x:c>
      <x:c r="C184" s="155" t="str">
        <x:v>08/07/1763</x:v>
      </x:c>
      <x:c r="D184" s="155" t="str">
        <x:v>La Murola, Villacondide, Coaña (Asturias)</x:v>
      </x:c>
      <x:c r="E184" s="155" t="str"/>
      <x:c r="F184" s="155" t="str"/>
      <x:c r="G184" s="155" t="str">
        <x:v>NUEVA 24ª pasada: nacimiento y filiación documentados</x:v>
      </x:c>
      <x:c r="H184" s="155" t="str">
        <x:v>https://dialnet.unirioja.es/descarga/articulo/3016531.pdf</x:v>
      </x:c>
      <x:c r="I184" s="155" t="str"/>
      <x:c r="J184" s="155" t="str">
        <x:v>Primera hija de Francisco García Infanzón y Bárbara Cienfuegos. Nació el 08/07/1763 y fue bautizada el 09/07/1763. Casó en Villacondide el 09/04/1791 con Francisco Rodríguez Arango.</x:v>
      </x:c>
      <x:c r="K184" s="155" t="str">
        <x:v>Buscar defunción y descendencia completa.</x:v>
      </x:c>
      <x:c r="L184" s="155" t="str">
        <x:v>Hija de IDs178 y 182. Esposa de Francisco Rodríguez Arango (ID193).</x:v>
      </x:c>
      <x:c r="M184" s="155" t="str">
        <x:v>ALTA</x:v>
      </x:c>
      <x:c r="N184" s="155" t="str">
        <x:v>ENLAZADO</x:v>
      </x:c>
    </x:row>
    <x:row r="185">
      <x:c r="A185" s="155" t="n">
        <x:v>184</x:v>
      </x:c>
      <x:c r="B185" s="155" t="str">
        <x:v>Francisca Bárbara García Infanzón y Cienfuegos</x:v>
      </x:c>
      <x:c r="C185" s="155" t="str">
        <x:v>01/12/1765</x:v>
      </x:c>
      <x:c r="D185" s="155" t="str">
        <x:v>La Murola, Villacondide, Coaña (Asturias)</x:v>
      </x:c>
      <x:c r="E185" s="155" t="str">
        <x:v>16/10/1853</x:v>
      </x:c>
      <x:c r="F185" s="155" t="str">
        <x:v>Villacondide, Coaña (Asturias)</x:v>
      </x:c>
      <x:c r="G185" s="155" t="str">
        <x:v>NUEVA 24ª pasada: nacimiento, matrimonio y defunción documentados</x:v>
      </x:c>
      <x:c r="H185" s="155" t="str">
        <x:v>https://dialnet.unirioja.es/descarga/articulo/3016531.pdf</x:v>
      </x:c>
      <x:c r="I185" s="155" t="str"/>
      <x:c r="J185" s="155" t="str">
        <x:v>Nació el 01/12/1765 y fue bautizada el 04/12/1765. La partida de entierro de 1853 la declara natural de Villacondide. Falleció el 16/10/1853 y fue enterrada el 18/10/1853. Casó con Domingo Méndez Cabodevilla.</x:v>
      </x:c>
      <x:c r="K185" s="155" t="str">
        <x:v>Seguir su descendencia, de la que el estudio documenta varias generaciones.</x:v>
      </x:c>
      <x:c r="L185" s="155" t="str">
        <x:v>Hija de IDs178 y 182. Esposa de Domingo Méndez Cabodevilla (ID194).</x:v>
      </x:c>
      <x:c r="M185" s="155" t="str">
        <x:v>ALTA</x:v>
      </x:c>
      <x:c r="N185" s="155" t="str">
        <x:v>ENLAZADO</x:v>
      </x:c>
    </x:row>
    <x:row r="186">
      <x:c r="A186" s="155" t="n">
        <x:v>185</x:v>
      </x:c>
      <x:c r="B186" s="155" t="str">
        <x:v>José Francisco García Infanzón y Cienfuegos</x:v>
      </x:c>
      <x:c r="C186" s="155" t="str">
        <x:v>22/06/1769 (bautismo)</x:v>
      </x:c>
      <x:c r="D186" s="155" t="str">
        <x:v>La Murola, Villacondide, Coaña (Asturias)</x:v>
      </x:c>
      <x:c r="E186" s="155" t="str">
        <x:v>antes del 30/06/1817</x:v>
      </x:c>
      <x:c r="F186" s="155" t="str"/>
      <x:c r="G186" s="155" t="str">
        <x:v>NUEVA 24ª pasada: bautismo, matrimonio y entierro documentados</x:v>
      </x:c>
      <x:c r="H186" s="155" t="str">
        <x:v>https://dialnet.unirioja.es/descarga/articulo/3016531.pdf</x:v>
      </x:c>
      <x:c r="I186" s="155" t="str"/>
      <x:c r="J186" s="155" t="str">
        <x:v>Primer hijo varón; bautizado el 22/06/1769. Casó con Josefa Cuadrado y Cancio y, viudo, con Teresa Suárez. Fue enterrado en Villacondide el 30/06/1817; la partida indica que murió «de accidente». El lugar físico de muerte no se explicita.</x:v>
      </x:c>
      <x:c r="K186" s="155" t="str">
        <x:v>Buscar partida de bautismo completa y defunción para lugar exacto.</x:v>
      </x:c>
      <x:c r="L186" s="155" t="str">
        <x:v>Hijo de IDs178 y 182. Esposo de Josefa Cuadrado y Cancio; padre de varios hijos.</x:v>
      </x:c>
      <x:c r="M186" s="155" t="str">
        <x:v>ALTA</x:v>
      </x:c>
      <x:c r="N186" s="155" t="str">
        <x:v>ENLAZADO</x:v>
      </x:c>
    </x:row>
    <x:row r="187">
      <x:c r="A187" s="155" t="n">
        <x:v>186</x:v>
      </x:c>
      <x:c r="B187" s="155" t="str">
        <x:v>Alonso García Infanzón y Cienfuegos</x:v>
      </x:c>
      <x:c r="C187" s="155" t="str">
        <x:v>30/07/1771</x:v>
      </x:c>
      <x:c r="D187" s="155" t="str">
        <x:v>La Murola, Villacondide, Coaña (Asturias)</x:v>
      </x:c>
      <x:c r="E187" s="155" t="str"/>
      <x:c r="F187" s="155" t="str"/>
      <x:c r="G187" s="155" t="str">
        <x:v>NUEVA 24ª pasada: nacimiento documentado</x:v>
      </x:c>
      <x:c r="H187" s="155" t="str">
        <x:v>https://dialnet.unirioja.es/descarga/articulo/3016531.pdf</x:v>
      </x:c>
      <x:c r="I187" s="155" t="str"/>
      <x:c r="J187" s="155" t="str">
        <x:v>Nació el 30/07/1771 y fue bautizado el 01/08/1771. En el padrón de 1801 figura como hijo varón ausente.</x:v>
      </x:c>
      <x:c r="K187" s="155" t="str">
        <x:v>Buscar matrimonio, residencia posterior y defunción.</x:v>
      </x:c>
      <x:c r="L187" s="155" t="str">
        <x:v>Hijo de IDs178 y 182.</x:v>
      </x:c>
      <x:c r="M187" s="155" t="str">
        <x:v>ALTA</x:v>
      </x:c>
      <x:c r="N187" s="155" t="str">
        <x:v>ENLAZADO</x:v>
      </x:c>
    </x:row>
    <x:row r="188">
      <x:c r="A188" s="155" t="n">
        <x:v>187</x:v>
      </x:c>
      <x:c r="B188" s="155" t="str">
        <x:v>Diego Antonio García Infanzón y Cienfuegos</x:v>
      </x:c>
      <x:c r="C188" s="155" t="str">
        <x:v>29/10/1774</x:v>
      </x:c>
      <x:c r="D188" s="155" t="str">
        <x:v>La Murola, Villacondide, Coaña (Asturias)</x:v>
      </x:c>
      <x:c r="E188" s="155" t="str"/>
      <x:c r="F188" s="155" t="str"/>
      <x:c r="G188" s="155" t="str">
        <x:v>NUEVA 24ª pasada: nacimiento documentado</x:v>
      </x:c>
      <x:c r="H188" s="155" t="str">
        <x:v>https://dialnet.unirioja.es/descarga/articulo/3016531.pdf</x:v>
      </x:c>
      <x:c r="I188" s="155" t="str"/>
      <x:c r="J188" s="155" t="str">
        <x:v>Nació el 29/10/1774 y fue bautizado el 05/11/1774.</x:v>
      </x:c>
      <x:c r="K188" s="155" t="str">
        <x:v>Buscar padrones posteriores para determinar si murió joven o emigró.</x:v>
      </x:c>
      <x:c r="L188" s="155" t="str">
        <x:v>Hijo de IDs178 y 182.</x:v>
      </x:c>
      <x:c r="M188" s="155" t="str">
        <x:v>ALTA</x:v>
      </x:c>
      <x:c r="N188" s="155" t="str">
        <x:v>ENLAZADO</x:v>
      </x:c>
    </x:row>
    <x:row r="189">
      <x:c r="A189" s="155" t="n">
        <x:v>188</x:v>
      </x:c>
      <x:c r="B189" s="155" t="str">
        <x:v>Clara García Infanzón y Cienfuegos</x:v>
      </x:c>
      <x:c r="C189" s="155" t="str">
        <x:v>21/10/1776</x:v>
      </x:c>
      <x:c r="D189" s="155" t="str">
        <x:v>La Murola, Villacondide, Coaña (Asturias)</x:v>
      </x:c>
      <x:c r="E189" s="155" t="str">
        <x:v>21/02/1847</x:v>
      </x:c>
      <x:c r="F189" s="155" t="str">
        <x:v>Villacondide, Coaña (Asturias)</x:v>
      </x:c>
      <x:c r="G189" s="155" t="str">
        <x:v>NUEVA 24ª pasada: nacimiento, matrimonio y defunción documentados</x:v>
      </x:c>
      <x:c r="H189" s="155" t="str">
        <x:v>https://dialnet.unirioja.es/descarga/articulo/3016531.pdf</x:v>
      </x:c>
      <x:c r="I189" s="155" t="str"/>
      <x:c r="J189" s="155" t="str">
        <x:v>Nació el 21/10/1776 y fue bautizada el 23/10/1776. Casó con Luis Suárez del Pedrón el 27/02/1797. Fue enterrada en Villacondide el 21/02/1847; la partida la da viuda y vecina del Ferreiro, Villacondide.</x:v>
      </x:c>
      <x:c r="K189" s="155" t="str">
        <x:v>Buscar partida de defunción para distinguir fecha de muerte y entierro si no coinciden.</x:v>
      </x:c>
      <x:c r="L189" s="155" t="str">
        <x:v>Hija de IDs178 y 182. Esposa de Luis Suárez del Pedrón.</x:v>
      </x:c>
      <x:c r="M189" s="155" t="str">
        <x:v>ALTA</x:v>
      </x:c>
      <x:c r="N189" s="155" t="str">
        <x:v>ENLAZADO</x:v>
      </x:c>
    </x:row>
    <x:row r="190">
      <x:c r="A190" s="155" t="n">
        <x:v>189</x:v>
      </x:c>
      <x:c r="B190" s="155" t="str">
        <x:v>Antonia María García Infanzón y Cienfuegos</x:v>
      </x:c>
      <x:c r="C190" s="155" t="str">
        <x:v>11/02/1779</x:v>
      </x:c>
      <x:c r="D190" s="155" t="str">
        <x:v>La Murola, Villacondide, Coaña (Asturias)</x:v>
      </x:c>
      <x:c r="E190" s="155" t="str">
        <x:v>antes de enero de 1808</x:v>
      </x:c>
      <x:c r="F190" s="155" t="str"/>
      <x:c r="G190" s="155" t="str">
        <x:v>NUEVA 24ª pasada: nacimiento documentado</x:v>
      </x:c>
      <x:c r="H190" s="155" t="str">
        <x:v>https://dialnet.unirioja.es/descarga/articulo/3016531.pdf</x:v>
      </x:c>
      <x:c r="I190" s="155" t="str"/>
      <x:c r="J190" s="155" t="str">
        <x:v>Nació el 11/02/1779 y fue bautizada el 13/02/1779. No aparece entre los hijos supervivientes en la partida de entierro del padre de 1808, por lo que el estudio considera que había fallecido antes.</x:v>
      </x:c>
      <x:c r="K190" s="155" t="str">
        <x:v>Buscar partida de defunción entre 1779 y 1808.</x:v>
      </x:c>
      <x:c r="L190" s="155" t="str">
        <x:v>Hija de IDs178 y 182.</x:v>
      </x:c>
      <x:c r="M190" s="155" t="str">
        <x:v>ALTA nacimiento / MEDIA defunción</x:v>
      </x:c>
      <x:c r="N190" s="155" t="str">
        <x:v>ENLAZADO</x:v>
      </x:c>
    </x:row>
    <x:row r="191">
      <x:c r="A191" s="155" t="n">
        <x:v>190</x:v>
      </x:c>
      <x:c r="B191" s="155" t="str">
        <x:v>Josefa García Infanzón y Cienfuegos</x:v>
      </x:c>
      <x:c r="C191" s="155" t="str">
        <x:v>29/03/1782</x:v>
      </x:c>
      <x:c r="D191" s="155" t="str">
        <x:v>La Murola, Villacondide, Coaña (Asturias)</x:v>
      </x:c>
      <x:c r="E191" s="155" t="str">
        <x:v>después de enero de 1808</x:v>
      </x:c>
      <x:c r="F191" s="155" t="str"/>
      <x:c r="G191" s="155" t="str">
        <x:v>NUEVA 24ª pasada: nacimiento documentado</x:v>
      </x:c>
      <x:c r="H191" s="155" t="str">
        <x:v>https://dialnet.unirioja.es/descarga/articulo/3016531.pdf</x:v>
      </x:c>
      <x:c r="I191" s="155" t="str"/>
      <x:c r="J191" s="155" t="str">
        <x:v>Nació el 29/03/1782 y fue bautizada el 30/03/1782. Figuraba viva al fallecer su padre en 1808.</x:v>
      </x:c>
      <x:c r="K191" s="155" t="str">
        <x:v>Buscar matrimonio y defunción.</x:v>
      </x:c>
      <x:c r="L191" s="155" t="str">
        <x:v>Hija de IDs178 y 182.</x:v>
      </x:c>
      <x:c r="M191" s="155" t="str">
        <x:v>ALTA</x:v>
      </x:c>
      <x:c r="N191" s="155" t="str">
        <x:v>ENLAZADO</x:v>
      </x:c>
    </x:row>
    <x:row r="192">
      <x:c r="A192" s="155" t="n">
        <x:v>191</x:v>
      </x:c>
      <x:c r="B192" s="155" t="str">
        <x:v>María Antonia García Infanzón y Cienfuegos</x:v>
      </x:c>
      <x:c r="C192" s="155" t="str">
        <x:v>25/02/1784</x:v>
      </x:c>
      <x:c r="D192" s="155" t="str">
        <x:v>La Murola, Villacondide, Coaña (Asturias)</x:v>
      </x:c>
      <x:c r="E192" s="155" t="str">
        <x:v>antes de enero de 1808</x:v>
      </x:c>
      <x:c r="F192" s="155" t="str"/>
      <x:c r="G192" s="155" t="str">
        <x:v>NUEVA 24ª pasada: nacimiento documentado</x:v>
      </x:c>
      <x:c r="H192" s="155" t="str">
        <x:v>https://dialnet.unirioja.es/descarga/articulo/3016531.pdf</x:v>
      </x:c>
      <x:c r="I192" s="155" t="str"/>
      <x:c r="J192" s="155" t="str">
        <x:v>Nació el 25/02/1784 y fue bautizada el 27/02/1784. No aparece entre los hijos supervivientes en 1808; el estudio considera que había fallecido antes.</x:v>
      </x:c>
      <x:c r="K192" s="155" t="str">
        <x:v>Buscar partida de defunción entre 1784 y 1808.</x:v>
      </x:c>
      <x:c r="L192" s="155" t="str">
        <x:v>Hija de IDs178 y 182.</x:v>
      </x:c>
      <x:c r="M192" s="155" t="str">
        <x:v>ALTA nacimiento / MEDIA defunción</x:v>
      </x:c>
      <x:c r="N192" s="155" t="str">
        <x:v>ENLAZADO</x:v>
      </x:c>
    </x:row>
    <x:row r="193">
      <x:c r="A193" s="155" t="n">
        <x:v>192</x:v>
      </x:c>
      <x:c r="B193" s="155" t="str">
        <x:v>Tomás Antonio García Infanzón y Cienfuegos</x:v>
      </x:c>
      <x:c r="C193" s="155" t="str">
        <x:v>18/10/1786</x:v>
      </x:c>
      <x:c r="D193" s="155" t="str">
        <x:v>La Murola, Villacondide, Coaña (Asturias)</x:v>
      </x:c>
      <x:c r="E193" s="155" t="str">
        <x:v>20/03/1809</x:v>
      </x:c>
      <x:c r="F193" s="155" t="str"/>
      <x:c r="G193" s="155" t="str">
        <x:v>NUEVA 24ª pasada: nacimiento y muerte documentados</x:v>
      </x:c>
      <x:c r="H193" s="155" t="str">
        <x:v>https://dialnet.unirioja.es/descarga/articulo/3016531.pdf</x:v>
      </x:c>
      <x:c r="I193" s="155" t="str"/>
      <x:c r="J193" s="155" t="str">
        <x:v>Décimo hijo de Francisco y Bárbara. Nació el 18/10/1786 en la casa de La Murola y fue bautizado el 21/10/1786. Murió en 1809 luchando contra los franceses; fue enterrado el 20/03/1809. La partida lo llama soldado y dice que murió «de accidente».</x:v>
      </x:c>
      <x:c r="K193" s="155" t="str">
        <x:v>Buscar si el libro de muertos especifica el lugar concreto del combate o fallecimiento.</x:v>
      </x:c>
      <x:c r="L193" s="155" t="str">
        <x:v>Hijo de IDs178 y 182.</x:v>
      </x:c>
      <x:c r="M193" s="155" t="str">
        <x:v>ALTA</x:v>
      </x:c>
      <x:c r="N193" s="155" t="str">
        <x:v>ENLAZADO</x:v>
      </x:c>
    </x:row>
    <x:row r="194">
      <x:c r="A194" s="155" t="n">
        <x:v>193</x:v>
      </x:c>
      <x:c r="B194" s="155" t="str">
        <x:v>Francisco Rodríguez Arango</x:v>
      </x:c>
      <x:c r="C194" s="155" t="str"/>
      <x:c r="D194" s="155" t="str">
        <x:v>Pumares / Santa Eulalia de Oscos (Asturias)</x:v>
      </x:c>
      <x:c r="E194" s="155" t="str"/>
      <x:c r="F194" s="155" t="str"/>
      <x:c r="G194" s="155" t="str">
        <x:v>NUEVA 24ª pasada: esposo documentado</x:v>
      </x:c>
      <x:c r="H194" s="155" t="str">
        <x:v>https://dialnet.unirioja.es/descarga/articulo/3016531.pdf</x:v>
      </x:c>
      <x:c r="I194" s="155" t="str"/>
      <x:c r="J194" s="155" t="str">
        <x:v>Casó con María Antonia Cayetana García Infanzón y Cienfuegos el 09/04/1791 en Villacondide. Era hijo de Francisco Antonio Rodríguez Arango y Jacinta Prelo y Castrillón, vecinos de Pumares.</x:v>
      </x:c>
      <x:c r="K194" s="155" t="str">
        <x:v>Buscar bautismo y defunción.</x:v>
      </x:c>
      <x:c r="L194" s="155" t="str">
        <x:v>Esposo de María Antonia Cayetana (ID183).</x:v>
      </x:c>
      <x:c r="M194" s="155" t="str">
        <x:v>ALTA</x:v>
      </x:c>
      <x:c r="N194" s="155" t="str">
        <x:v>ENLAZADO</x:v>
      </x:c>
    </x:row>
    <x:row r="195">
      <x:c r="A195" s="155" t="n">
        <x:v>194</x:v>
      </x:c>
      <x:c r="B195" s="155" t="str">
        <x:v>Domingo Méndez Cabodevilla</x:v>
      </x:c>
      <x:c r="C195" s="155" t="str"/>
      <x:c r="D195" s="155" t="str">
        <x:v>Cabodevilla / Villacondide (Asturias)</x:v>
      </x:c>
      <x:c r="E195" s="155" t="str">
        <x:v>16/09/1846</x:v>
      </x:c>
      <x:c r="F195" s="155" t="str">
        <x:v>Río Navia (Asturias)</x:v>
      </x:c>
      <x:c r="G195" s="155" t="str">
        <x:v>NUEVA 24ª pasada: esposo y defunción documentados</x:v>
      </x:c>
      <x:c r="H195" s="155" t="str">
        <x:v>https://dialnet.unirioja.es/descarga/articulo/3016531.pdf</x:v>
      </x:c>
      <x:c r="I195" s="155" t="str"/>
      <x:c r="J195" s="155" t="str">
        <x:v>Casó con Francisca Bárbara García Infanzón y Cienfuegos. Gonzalo Anes indica que falleció en el río Navia el 16/09/1846.</x:v>
      </x:c>
      <x:c r="K195" s="155" t="str">
        <x:v>Buscar partida de bautismo y detalles de la defunción.</x:v>
      </x:c>
      <x:c r="L195" s="155" t="str">
        <x:v>Esposo de Francisca Bárbara (ID184). Padre de María Antonia Méndez Cabodevilla y García Infanzón, entre otras hijas.</x:v>
      </x:c>
      <x:c r="M195" s="155" t="str">
        <x:v>ALTA</x:v>
      </x:c>
      <x:c r="N195" s="155" t="str">
        <x:v>ENLAZADO</x:v>
      </x:c>
    </x:row>
  </x:sheetData>
  <x:conditionalFormatting sqref="G2:G72">
    <x:cfRule type="expression" dxfId="0" priority="1">
      <x:formula>ISNUMBER(SEARCH("confirm",G2))</x:formula>
    </x:cfRule>
    <x:cfRule type="expression" dxfId="1" priority="2">
      <x:formula>ISNUMBER(SEARCH("Documentado",G2))</x:formula>
    </x:cfRule>
    <x:cfRule type="expression" dxfId="2" priority="3">
      <x:formula>ISNUMBER(SEARCH("conflicto",G2))</x:formula>
    </x:cfRule>
    <x:cfRule type="expression" dxfId="3" priority="4">
      <x:formula>ISNUMBER(SEARCH("dud",G2))</x:formula>
    </x:cfRule>
    <x:cfRule type="expression" dxfId="4" priority="5">
      <x:formula>ISNUMBER(SEARCH("incomplet",G2))</x:formula>
    </x:cfRule>
  </x:conditionalFormatting>
  <x:pageMargins left="0.7" right="0.7" top="0.75" bottom="0.75" header="0.3" footer="0.3"/>
  <x:tableParts count="1">
    <x:tablePart xmlns:r="http://schemas.openxmlformats.org/officeDocument/2006/relationships" r:id="R4b3bbf9074984237"/>
  </x:tableParts>
</x:worksheet>
</file>

<file path=xl/worksheets/sheet2.xml><?xml version="1.0" encoding="utf-8"?>
<x:worksheet xmlns:x="http://schemas.openxmlformats.org/spreadsheetml/2006/main">
  <x:sheetFormatPr defaultRowHeight="15"/>
  <x:cols>
    <x:col min="1" max="1" width="42" hidden="0" customWidth="1"/>
    <x:col min="2" max="2" width="70" hidden="0" customWidth="1"/>
    <x:col min="3" max="3" width="70" hidden="0" customWidth="1"/>
    <x:col min="4" max="4" width="24" hidden="0" customWidth="1"/>
  </x:cols>
  <x:sheetData>
    <x:row r="1">
      <x:c r="A1" s="26" t="str">
        <x:v>Fuente</x:v>
      </x:c>
      <x:c r="B1" s="26" t="str">
        <x:v>Qué aporta</x:v>
      </x:c>
      <x:c r="C1" s="26" t="str">
        <x:v>URL</x:v>
      </x:c>
      <x:c r="D1" s="26" t="str">
        <x:v>Tipo</x:v>
      </x:c>
    </x:row>
    <x:row r="2">
      <x:c r="A2" s="12" t="str">
        <x:v>El Comercio – Esquela Santiago Martínez García</x:v>
      </x:c>
      <x:c r="B2" s="12" t="str">
        <x:v>Confirma fallecimiento en Avilés el 27/05/2024, 96 años; esposa Edelmira Pérez Sánchez; sepultura en San Cristóbal de Entreviñas.</x:v>
      </x:c>
      <x:c r="C2" s="28" t="str">
        <x:v>https://esquelas.elcomercio.es/necrologicas/don-santiago-martinez-garcia-496757.html</x:v>
      </x:c>
      <x:c r="D2" s="12" t="str">
        <x:v>Evidencia directa</x:v>
      </x:c>
    </x:row>
    <x:row r="3">
      <x:c r="A3" s="12" t="str">
        <x:v>Censo-Guía – Santa María de Becerril del Carpio</x:v>
      </x:c>
      <x:c r="B3" s="12" t="str">
        <x:v>Localiza el archivo parroquial en el Archivo Diocesano de Palencia.</x:v>
      </x:c>
      <x:c r="C3" s="28" t="str">
        <x:v>https://censoarchivos.cultura.gob.es/CensoGuia/archivodetail.htm?id=57797</x:v>
      </x:c>
      <x:c r="D3" s="12" t="str">
        <x:v>Ruta archivística</x:v>
      </x:c>
    </x:row>
    <x:row r="4">
      <x:c r="A4" s="12" t="str">
        <x:v>Diputación de Palencia – Censos electorales Becerril del Carpio</x:v>
      </x:c>
      <x:c r="B4" s="12" t="str">
        <x:v>Existen censos electorales digitalizados desde 1890; útiles para García/Martínez de finales del XIX y principios del XX.</x:v>
      </x:c>
      <x:c r="C4" s="28" t="str">
        <x:v>https://www.diputaciondepalencia.es/sitio/cultura/censos-electorales-becerril-carpio</x:v>
      </x:c>
      <x:c r="D4" s="12" t="str">
        <x:v>Ruta archivística</x:v>
      </x:c>
    </x:row>
    <x:row r="5">
      <x:c r="A5" s="12" t="str">
        <x:v>Archivo Histórico Diocesano de Oviedo</x:v>
      </x:c>
      <x:c r="B5" s="12" t="str">
        <x:v>Archivo de referencia para libros parroquiales históricos asturianos; requiere cita y consulta presencial según su web.</x:v>
      </x:c>
      <x:c r="C5" s="28" t="str">
        <x:v>https://iglesiadeasturias.org/archivo-historico/</x:v>
      </x:c>
      <x:c r="D5" s="12" t="str">
        <x:v>Ruta archivística</x:v>
      </x:c>
    </x:row>
    <x:row r="6">
      <x:c r="A6" s="12" t="str">
        <x:v>Ayuntamiento de Navia – Parroquias</x:v>
      </x:c>
      <x:c r="B6" s="12" t="str">
        <x:v>Confirma que Armental, Cabanella y Talarén pertenecen a Villanueva y que el templo parroquial es San Antolín.</x:v>
      </x:c>
      <x:c r="C6" s="28" t="str">
        <x:v>https://www.ayto-navia.es/parroquias</x:v>
      </x:c>
      <x:c r="D6" s="12" t="str">
        <x:v>Contexto geográfico/parroquial</x:v>
      </x:c>
    </x:row>
    <x:row r="7">
      <x:c r="A7" s="12" t="str">
        <x:v>Ayuntamiento de Coaña – Parroquias</x:v>
      </x:c>
      <x:c r="B7" s="12" t="str">
        <x:v>Confirma que Meiro pertenece a la parroquia de Folgueras.</x:v>
      </x:c>
      <x:c r="C7" s="28" t="str">
        <x:v>https://mail.ayuntamientodecoana.com/en/index.php?M1=10&amp;M2=82</x:v>
      </x:c>
      <x:c r="D7" s="12" t="str">
        <x:v>Contexto geográfico/parroquial</x:v>
      </x:c>
    </x:row>
    <x:row r="8">
      <x:c r="A8" s="12" t="str">
        <x:v>Dialnet – Una investigación genealógica: Estirpes de la Casa Trelles</x:v>
      </x:c>
      <x:c r="B8" s="12" t="str">
        <x:v>Estudio genealógico con referencias a libros parroquiales de Villacondide y personas de los linajes Trelles/Infanzón.</x:v>
      </x:c>
      <x:c r="C8" s="28" t="str">
        <x:v>https://dialnet.unirioja.es/descarga/articulo/3016531.pdf</x:v>
      </x:c>
      <x:c r="D8" s="12" t="str">
        <x:v>Fuente académica</x:v>
      </x:c>
    </x:row>
    <x:row r="9">
      <x:c r="A9" s="12" t="str">
        <x:v>Universidad de Oviedo – tesis sobre fundaciones/patronatos</x:v>
      </x:c>
      <x:c r="B9" s="12" t="str">
        <x:v>Documenta a Pelayo Antonio Méndez Trelles como patrono y a un hijo homónimo que lo sucedió; menciona San Cosme de Villacondide.</x:v>
      </x:c>
      <x:c r="C9" s="28" t="str">
        <x:v>https://digibuo.uniovi.es/dspace/bitstream/10651/13044/1/TDRamonaPerezCastroPerezpdf.pdf</x:v>
      </x:c>
      <x:c r="D9" s="12" t="str">
        <x:v>Fuente académica</x:v>
      </x:c>
    </x:row>
    <x:row r="10">
      <x:c r="A10" s="12" t="str">
        <x:v>PARES – Coaña</x:v>
      </x:c>
      <x:c r="B10" s="12" t="str">
        <x:v>Catálogo de pleitos/probanzas de Coaña; incluye una probanza de 1627 de Juan García Infanzón y sus hijos Juan, Miguel y Alonso.</x:v>
      </x:c>
      <x:c r="C10" s="28" t="str">
        <x:v>https://pares.mcu.es/ParesBusquedas20/catalogo/find?archivo=8&amp;idAut=70553&amp;idLP=-1&amp;idN=19&amp;nomAut=Coa%C3%B1a+%28Asturias%2C+Espa%C3%B1a%29&amp;tipoAsocAut=1</x:v>
      </x:c>
      <x:c r="D10" s="12" t="str">
        <x:v>Fuente archivística</x:v>
      </x:c>
    </x:row>
    <x:row r="11">
      <x:c r="A11" s="12" t="str">
        <x:v>Universidad de Sevilla – La casa de Ron</x:v>
      </x:c>
      <x:c r="B11" s="12" t="str">
        <x:v>Estudio histórico del linaje Ron y sus enlaces con Miranda; útil como contexto, no como prueba individual para las personas del siglo XVII-XVIII de la captura.</x:v>
      </x:c>
      <x:c r="C11" s="28" t="str">
        <x:v>https://idus.us.es/bitstreams/bb1c35d5-1b88-4013-8b51-8ff046ee7bf1/download</x:v>
      </x:c>
      <x:c r="D11" s="12" t="str">
        <x:v>Fuente académica/contextual</x:v>
      </x:c>
    </x:row>
    <x:row r="12">
      <x:c r="A12" s="49" t="str">
        <x:v>Archivos de Asturias – Obra Pía de Villacondide / Pelayo Antonio Méndez Trelles</x:v>
      </x:c>
      <x:c r="B12" s="49" t="str">
        <x:v>Fuente oficial. Documenta a Pelayo Antonio Méndez Trelles como patrono y administrador en cuentas de 1811-1829 y 1829-1838, con expedientes tramitados entre 1830 y 1840.</x:v>
      </x:c>
      <x:c r="C12" s="49" t="str">
        <x:v>https://archivosdeasturias.info/feaa/action/detalle?buttons%5B4%5D=loadDetailSerie&amp;idCuadro=1198&amp;idTipo=35812</x:v>
      </x:c>
      <x:c r="D12" s="49" t="str">
        <x:v>Fuente archivística oficial – NUEVA 2ª pasada</x:v>
      </x:c>
    </x:row>
    <x:row r="13">
      <x:c r="A13" s="49" t="str">
        <x:v>Archivos de Asturias – Leonor Suárez Trelles y Villamil</x:v>
      </x:c>
      <x:c r="B13" s="49" t="str">
        <x:v>Fuente oficial. Expediente 23.542/11 de información de filiación y parentesco de Leonor Suárez Trelles y Villamil, 1671/1696.</x:v>
      </x:c>
      <x:c r="C13" s="49" t="str">
        <x:v>https://archivosdeasturias.info/feaa/action/detalle?buttons%5B4%5D=loadDetailSerie&amp;idCuadro=1198&amp;idTipo=35861</x:v>
      </x:c>
      <x:c r="D13" s="49" t="str">
        <x:v>Fuente archivística oficial – NUEVA 2ª pasada</x:v>
      </x:c>
    </x:row>
    <x:row r="14">
      <x:c r="A14" s="49" t="str">
        <x:v>Dialnet – Estirpes de la Casa Trelles (segunda revisión)</x:v>
      </x:c>
      <x:c r="B14" s="49" t="str">
        <x:v>Aporta el padrón de Villacondide de 1780, donde figura «don Pelayo Antonio Méndez Trelles, menor», y referencias parroquiales de la rama Trelles/García Infanzón.</x:v>
      </x:c>
      <x:c r="C14" s="49" t="str">
        <x:v>https://dialnet.unirioja.es/descarga/articulo/3016531.pdf</x:v>
      </x:c>
      <x:c r="D14" s="49" t="str">
        <x:v>Fuente académica – NUEVA 2ª pasada</x:v>
      </x:c>
    </x:row>
    <x:row r="15">
      <x:c r="A15" s="49" t="str">
        <x:v>Geneanet – Diego Antonio Sánchez de Ron Méndez-Trelles</x:v>
      </x:c>
      <x:c r="B15" s="49" t="str">
        <x:v>Árbol colaborativo que da nacimiento 20/10/1763 en Meiro (Coaña), esposa Rosa María González Fernández y un hijo. Se usa solo como pista hasta confirmar con partida.</x:v>
      </x:c>
      <x:c r="C15" s="49" t="str">
        <x:v>https://en.geneanet.org/fonds/individus/?go=1&amp;nom=TRELLES&amp;page=6&amp;prenom=Antonio&amp;size=20</x:v>
      </x:c>
      <x:c r="D15" s="49" t="str">
        <x:v>Árbol colaborativo – pista, no prueba</x:v>
      </x:c>
    </x:row>
    <x:row r="16">
      <x:c r="A16" s="60" t="str">
        <x:v>PARES – Probanza de Juan García Infanzón y sus hijos (1627)</x:v>
      </x:c>
      <x:c r="B16" s="60" t="str">
        <x:v>Fuente oficial de la Real Chancillería de Valladolid. Documenta a Juan García Infanzón y a sus hijos Juan, Miguel y Alonso, vecinos de Coaña. Signatura SALA DE HIJOSDALGO, CAJA 1391,13.</x:v>
      </x:c>
      <x:c r="C16" s="60" t="str">
        <x:v>https://pares.mcu.es/ParesBusquedas20/catalogo/find?archivo=8&amp;idAut=70553&amp;idLP=-1&amp;idN=19&amp;nomAut=Coa%C3%B1a+%28Asturias%2C+Espa%C3%B1a%29&amp;tipoAsocAut=1</x:v>
      </x:c>
      <x:c r="D16" s="60" t="str">
        <x:v>Fuente archivística oficial – NUEVA 3ª pasada</x:v>
      </x:c>
    </x:row>
    <x:row r="17">
      <x:c r="A17" s="60" t="str">
        <x:v>Universidad de Oviedo – Patronato de Villacondide</x:v>
      </x:c>
      <x:c r="B17" s="60" t="str">
        <x:v>Documenta que Pelayo Antonio Méndez Trelles fue patrono y que a su muerte lo sucedió un hijo del mismo nombre.</x:v>
      </x:c>
      <x:c r="C17" s="60" t="str">
        <x:v>https://digibuo.uniovi.es/dspace/bitstream/10651/13044/1/TDRamonaPerezCastroPerezpdf.pdf</x:v>
      </x:c>
      <x:c r="D17" s="60" t="str">
        <x:v>Fuente académica – NUEVA 3ª pasada</x:v>
      </x:c>
    </x:row>
    <x:row r="18">
      <x:c r="A18" s="60" t="str">
        <x:v>Dialnet – Padrón de Villacondide de 1780</x:v>
      </x:c>
      <x:c r="B18" s="60" t="str">
        <x:v>Documenta a «don Pelayo Antonio Méndez Trelles, menor» como empadronador por el estado noble.</x:v>
      </x:c>
      <x:c r="C18" s="60" t="str">
        <x:v>https://dialnet.unirioja.es/descarga/articulo/3016531.pdf</x:v>
      </x:c>
      <x:c r="D18" s="60" t="str">
        <x:v>Fuente académica – NUEVA 3ª pasada</x:v>
      </x:c>
    </x:row>
    <x:row r="19">
      <x:c r="A19" s="63" t="str">
        <x:v>Dialnet – Gonzalo Anes: Una investigación genealógica, estirpes de la Casa Trelles</x:v>
      </x:c>
      <x:c r="B19" s="63" t="str">
        <x:v>Fuente académica basada en padrones, protocolos, testamentos y libros parroquiales. Aporta la filiación de María Alfonso Infanzón, Suero González de Trelles, Catalina Suárez Trelles Infanzón y sus descendientes.</x:v>
      </x:c>
      <x:c r="C19" s="63" t="str">
        <x:v>https://dialnet.unirioja.es/descarga/articulo/3016531.pdf</x:v>
      </x:c>
      <x:c r="D19" s="63" t="str">
        <x:v>Fuente académica principal – NUEVA 4ª pasada</x:v>
      </x:c>
    </x:row>
    <x:row r="20">
      <x:c r="A20" s="63" t="str">
        <x:v>Universidad Carlos III – Base de colegiales: Benito de Trelles y Villamil</x:v>
      </x:c>
      <x:c r="B20" s="63" t="str">
        <x:v>Ficha biográfica que da nacimiento 04/04/1613 en Serandinas y vida 1613-1682; identifica a sus padres Gonzalo Méndez de Coaña y Trelles y Catalina Suárez de Trelles Infanzón.</x:v>
      </x:c>
      <x:c r="C20" s="63" t="str">
        <x:v>https://biblioteca3.uc3m.es/Colegiales/ficha2.php?codigo=1355</x:v>
      </x:c>
      <x:c r="D20" s="63" t="str">
        <x:v>Fuente universitaria – NUEVA 4ª pasada</x:v>
      </x:c>
    </x:row>
    <x:row r="21">
      <x:c r="A21" s="63" t="str">
        <x:v>Asturias Ilustrada / edición digital Univ. Sevilla</x:v>
      </x:c>
      <x:c r="B21" s="63" t="str">
        <x:v>Genealogía histórica que enlaza a Lope Suárez de Coaña y Trelles con Leonor Alfonso Trelles Villamil y Lantoira y su descendencia.</x:v>
      </x:c>
      <x:c r="C21" s="63" t="str">
        <x:v>https://idus.us.es/server/api/core/bitstreams/4d5a11bd-b8ae-4c90-b1c9-2c58368d1a8c/content</x:v>
      </x:c>
      <x:c r="D21" s="63" t="str">
        <x:v>Fuente genealógica histórica – NUEVA 4ª pasada</x:v>
      </x:c>
    </x:row>
    <x:row r="22">
      <x:c r="A22" s="67" t="str">
        <x:v>Dialnet – Gonzalo Anes, Estirpes de la Casa Trelles (revisión profunda)</x:v>
      </x:c>
      <x:c r="B22" s="67" t="str">
        <x:v>Fuente académica con transcripciones de padrones, pruebas de limpieza/nobleza, protocolos y testamentos. Permite llevar la rama de Suero González de Trelles hacia Fernando Fernández, Teresa Díaz, Lope Méndez y Fernán López de Trelles, además de documentar hermanos y segundo matrimonio.</x:v>
      </x:c>
      <x:c r="C22" s="67" t="str">
        <x:v>https://dialnet.unirioja.es/descarga/articulo/3016531.pdf</x:v>
      </x:c>
      <x:c r="D22" s="67" t="str">
        <x:v>Fuente académica principal – NUEVA 5ª pasada</x:v>
      </x:c>
    </x:row>
    <x:row r="23">
      <x:c r="A23" s="67" t="str">
        <x:v>Hidalguía – Gonzalo Anes, información complementaria sobre la Casa Trelles</x:v>
      </x:c>
      <x:c r="B23" s="67" t="str">
        <x:v>Resume y contrasta la filiación de Suero González de Trelles, María Infanzón, sus hijos y el segundo matrimonio con María Méndez Morán de Navia.</x:v>
      </x:c>
      <x:c r="C23" s="67" t="str">
        <x:v>https://dialnet.unirioja.es/descarga/articulo/4151486.pdf</x:v>
      </x:c>
      <x:c r="D23" s="67" t="str">
        <x:v>Fuente académica – NUEVA 5ª pasada</x:v>
      </x:c>
    </x:row>
    <x:row r="24">
      <x:c r="A24" s="70" t="str">
        <x:v>Gonzalo Anes – Estirpes de la Casa Trelles, padrones 1524–1632</x:v>
      </x:c>
      <x:c r="B24" s="70" t="str">
        <x:v>Transcribe los padrones de San Juan de Trelles/Villacondide: en 1524 aparecen Lope Méndez de Villar y su hermano Diego Rodríguez; en 1542 Fernán López; en 1584 los hijos de Fernando Fernández de Trelles; y en 1620–1632 se explicitan varias filiaciones.</x:v>
      </x:c>
      <x:c r="C24" s="70" t="str">
        <x:v>https://dialnet.unirioja.es/descarga/articulo/3016531.pdf</x:v>
      </x:c>
      <x:c r="D24" s="70" t="str">
        <x:v>Fuente académica / transcripción de fuentes primarias – NUEVA 6ª pasada</x:v>
      </x:c>
    </x:row>
    <x:row r="25">
      <x:c r="A25" s="70" t="str">
        <x:v>Gonzalo Anes – Nota genealógica complementaria Casa Trelles</x:v>
      </x:c>
      <x:c r="B25" s="70" t="str">
        <x:v>Confirma que los Trelles constan en padrones desde 1524 y resume la condición de hijosdalgo de Lope Méndez de Villar, Diego Rodríguez y otros miembros del linaje.</x:v>
      </x:c>
      <x:c r="C25" s="70" t="str">
        <x:v>https://dialnet.unirioja.es/descarga/articulo/4151486.pdf</x:v>
      </x:c>
      <x:c r="D25" s="70" t="str">
        <x:v>Fuente académica – NUEVA 6ª pasada</x:v>
      </x:c>
    </x:row>
    <x:row r="26">
      <x:c r="A26" s="73" t="str">
        <x:v>Colección Salazar y Castro D-45 (citada por Gonzalo Anes)</x:v>
      </x:c>
      <x:c r="B26" s="73" t="str">
        <x:v>Aporta una genealogía alternativa: Fernando Fernández de Trelles sería hijo de Suero González de Trelles, natural de Pumarín. Contradice la declaración de Benito Trelles de 1666.</x:v>
      </x:c>
      <x:c r="C26" s="73" t="str">
        <x:v>https://www.bne.es/es/Micrositios/Guias/Genealogia/Documentacion_archivistica/coleccion_salazar/</x:v>
      </x:c>
      <x:c r="D26" s="73" t="str">
        <x:v>Fuente genealógica histórica / conflicto – NUEVA 7ª pasada</x:v>
      </x:c>
    </x:row>
    <x:row r="27">
      <x:c r="A27" s="73" t="str">
        <x:v>Gonzalo Anes – padrones 1607, 1620, 1626, 1632 y 1638</x:v>
      </x:c>
      <x:c r="B27" s="73" t="str">
        <x:v>Da la lista explícita de hijos de Suero González de Trelles y María Alonso Infanzón y permite añadir Marcos González, Diego García y Gonzalo González, además de precisar oficios.</x:v>
      </x:c>
      <x:c r="C27" s="73" t="str">
        <x:v>https://es.scribd.com/document/705768310/Dialnet-UnaInvestigacionGenealogica-3016531</x:v>
      </x:c>
      <x:c r="D27" s="73" t="str">
        <x:v>Transcripción académica de fuentes primarias – NUEVA 7ª pasada</x:v>
      </x:c>
    </x:row>
    <x:row r="28">
      <x:c r="A28" s="73" t="str">
        <x:v>Gonzalo Anes – libros sacramentales de Villacondide</x:v>
      </x:c>
      <x:c r="B28" s="73" t="str">
        <x:v>Documenta a Dominga López de Trelles y bautismos de sus hijos con García Morán de Trelles: Alonso (25/02/1636), García (27/09/1637) y María (28/04/1639).</x:v>
      </x:c>
      <x:c r="C28" s="73" t="str">
        <x:v>https://es.scribd.com/document/705768310/Dialnet-UnaInvestigacionGenealogica-3016531</x:v>
      </x:c>
      <x:c r="D28" s="73" t="str">
        <x:v>Libros sacramentales transcritos – NUEVA 7ª pasada</x:v>
      </x:c>
    </x:row>
    <x:row r="29">
      <x:c r="A29" s="76" t="str">
        <x:v>Padrón de Trelles de 1524 (transcripción en Gonzalo Anes)</x:v>
      </x:c>
      <x:c r="B29" s="76" t="str">
        <x:v>Primer padrón conservado citado por el estudio. Documenta a Gómez Ares, García Gómez, Alonso hijo de Suero González, Lope Méndez de Villar, Diego Rodríguez, García González de Pumarín, Pedro su hermano y Suero González del Río.</x:v>
      </x:c>
      <x:c r="C29" s="76" t="str">
        <x:v>https://dialnet.unirioja.es/descarga/articulo/3016531.pdf</x:v>
      </x:c>
      <x:c r="D29" s="76" t="str">
        <x:v>Transcripción académica de fuente primaria – NUEVA 8ª pasada</x:v>
      </x:c>
    </x:row>
    <x:row r="30">
      <x:c r="A30" s="76" t="str">
        <x:v>Padrones de 1542 y 1554 (transcripción en Gonzalo Anes)</x:v>
      </x:c>
      <x:c r="B30" s="76" t="str">
        <x:v>En 1542 aparece Fernán López y Juan Alonso; en 1554 Gómez Ares, García Gómez, Diego Rodríguez, Fernando López de Trelles y Fernando Fernández de Pumarín.</x:v>
      </x:c>
      <x:c r="C30" s="76" t="str">
        <x:v>https://dialnet.unirioja.es/descarga/articulo/3016531.pdf</x:v>
      </x:c>
      <x:c r="D30" s="76" t="str">
        <x:v>Transcripción académica de fuente primaria – NUEVA 8ª pasada</x:v>
      </x:c>
    </x:row>
    <x:row r="31">
      <x:c r="A31" s="76" t="str">
        <x:v>Asturias Ilustrada – genealogía antigua del linaje Trelles</x:v>
      </x:c>
      <x:c r="B31" s="76" t="str">
        <x:v>Fuente del siglo XVIII para la tradición Diego García → Mendo Díaz → Garci Sánchez → Lope Díaz; debe usarse con cautela porque Gonzalo Anes señala que esa secuencia no está fehacientemente acreditada.</x:v>
      </x:c>
      <x:c r="C31" s="76" t="str">
        <x:v>https://idus.us.es/server/api/core/bitstreams/4d5a11bd-b8ae-4c90-b1c9-2c58368d1a8c/content</x:v>
      </x:c>
      <x:c r="D31" s="76" t="str">
        <x:v>Fuente genealógica histórica, no prueba primaria – NUEVA 8ª pasada</x:v>
      </x:c>
    </x:row>
    <x:row r="32">
      <x:c r="A32" s="76" t="str">
        <x:v>Gonzalo Anes – crítica de la genealogía medieval de Trelles</x:v>
      </x:c>
      <x:c r="B32" s="76" t="str">
        <x:v>Advierte expresamente que Diego García de Trelles y las sucesiones anteriores a la documentación del siglo XVI no están acreditadas de manera fehaciente; fija 1524 como arranque documental seguro de los padrones.</x:v>
      </x:c>
      <x:c r="C32" s="76" t="str">
        <x:v>https://dialnet.unirioja.es/descarga/articulo/3016531.pdf</x:v>
      </x:c>
      <x:c r="D32" s="76" t="str">
        <x:v>Fuente académica crítica – NUEVA 8ª pasada</x:v>
      </x:c>
    </x:row>
    <x:row r="33">
      <x:c r="A33" s="79" t="str">
        <x:v>Hidalguía 355 – Gonzalo Anes, Los Trelles de Mohías</x:v>
      </x:c>
      <x:c r="B33" s="79" t="str">
        <x:v>Reproduce críticamente la tradición Rodrigo Díaz de Trelles + Ana Valledor → Teresa Trelles del Río y Valledor y advierte del carácter no probado de las generaciones medievales.</x:v>
      </x:c>
      <x:c r="C33" s="79" t="str">
        <x:v>https://dialnet.unirioja.es/descarga/articulo/4151486.pdf</x:v>
      </x:c>
      <x:c r="D33" s="79" t="str">
        <x:v>Fuente académica crítica – NUEVA 9ª pasada</x:v>
      </x:c>
    </x:row>
    <x:row r="34">
      <x:c r="A34" s="79" t="str">
        <x:v>Gonzalo Anes – Estirpes de la Casa Trelles, testamento de Dominga/García Morán</x:v>
      </x:c>
      <x:c r="B34" s="79" t="str">
        <x:v>Identifica a Teresa García de Luera y Trelles (también Teresa Castrillón Valledor) como esposa de Alonso López de Trelles y madre de Dominga.</x:v>
      </x:c>
      <x:c r="C34" s="79" t="str">
        <x:v>https://dialnet.unirioja.es/descarga/articulo/3016531.pdf</x:v>
      </x:c>
      <x:c r="D34" s="79" t="str">
        <x:v>Fuente académica basada en testamento – NUEVA 9ª pasada</x:v>
      </x:c>
    </x:row>
    <x:row r="35">
      <x:c r="A35" s="79" t="str">
        <x:v>Hidalguía 355 – padrones de Alonso López de Trelles y descendencia</x:v>
      </x:c>
      <x:c r="B35" s="79" t="str">
        <x:v>Documenta en 1632/1638 a Francisco López y enumera también a Dominga, Ana y María como hijos de Alonso López de Trelles.</x:v>
      </x:c>
      <x:c r="C35" s="79" t="str">
        <x:v>https://dialnet.unirioja.es/descarga/articulo/4151486.pdf</x:v>
      </x:c>
      <x:c r="D35" s="79" t="str">
        <x:v>Fuente académica / padrones y parroquiales – NUEVA 9ª pasada</x:v>
      </x:c>
    </x:row>
    <x:row r="36">
      <x:c r="A36" s="79" t="str">
        <x:v>PARES – Pleito de José García Infanzón y Hebia</x:v>
      </x:c>
      <x:c r="B36" s="79" t="str">
        <x:v>Archivo de la Real Chancillería de Valladolid, 1752–1754, SALA DE HIJOSDALGO, CAJA 948,18. La descripción genealógica cita como segundos abuelos a Lucas Fernández Infanzón y María Alonso de la Vega.</x:v>
      </x:c>
      <x:c r="C36" s="79" t="str">
        <x:v>https://pares.mcu.es/ParesBusquedas20/catalogo/description/461876</x:v>
      </x:c>
      <x:c r="D36" s="79" t="str">
        <x:v>Fuente archivística oficial – NUEVA 9ª pasada</x:v>
      </x:c>
    </x:row>
    <x:row r="37">
      <x:c r="A37" s="79" t="str">
        <x:v>Asturias Ilustrada – José Manuel Trelles Villademoros</x:v>
      </x:c>
      <x:c r="B37" s="79" t="str">
        <x:v>Genealogía histórica antigua del linaje. Útil como pista para Rodrigo Díaz, Ana Valledor y generaciones medievales, pero no debe tratarse como prueba primaria.</x:v>
      </x:c>
      <x:c r="C37" s="79" t="str">
        <x:v>https://idus.us.es/server/api/core/bitstreams/4d5a11bd-b8ae-4c90-b1c9-2c58368d1a8c/content</x:v>
      </x:c>
      <x:c r="D37" s="79" t="str">
        <x:v>Fuente genealógica histórica – NUEVA 9ª pasada</x:v>
      </x:c>
    </x:row>
    <x:row r="38">
      <x:c r="A38" s="82" t="str">
        <x:v>Gonzalo Anes – pruebas de Benito González/Trelles de 1636</x:v>
      </x:c>
      <x:c r="B38" s="82" t="str">
        <x:v>Transcribe la declaración que da a Fernando Fernández de Trelles como hijo de Lope Alfonso de Pumarín y María García de Trelles; remite al expediente 2.328 de la Universidad de Salamanca y al traslado AHN Santiago 680-8220.</x:v>
      </x:c>
      <x:c r="C38" s="82" t="str">
        <x:v>https://dialnet.unirioja.es/descarga/articulo/3016531.pdf</x:v>
      </x:c>
      <x:c r="D38" s="82" t="str">
        <x:v>Fuente académica basada en expediente primario – NUEVA 10ª pasada</x:v>
      </x:c>
    </x:row>
    <x:row r="39">
      <x:c r="A39" s="82" t="str">
        <x:v>Gonzalo Anes – escritura de dote de María Alonso Infanzón</x:v>
      </x:c>
      <x:c r="B39" s="82" t="str">
        <x:v>El autor afirma haber visto los originales: la dote hace a Suero hijo de Fernando Fernández y Teresa Díaz; a Fernando hijo de Lope Méndez «el de Villar»; y a Lope hijo de Fernando López «de Villarín».</x:v>
      </x:c>
      <x:c r="C39" s="82" t="str">
        <x:v>https://dialnet.unirioja.es/descarga/articulo/3016531.pdf</x:v>
      </x:c>
      <x:c r="D39" s="82" t="str">
        <x:v>Fuente académica con consulta de originales – NUEVA 10ª pasada</x:v>
      </x:c>
    </x:row>
    <x:row r="40">
      <x:c r="A40" s="82" t="str">
        <x:v>Gonzalo Anes – libros sacramentales de Villacondide</x:v>
      </x:c>
      <x:c r="B40" s="82" t="str">
        <x:v>Documenta a María Álvarez Morán de Trelles (b. 12/05/1651, +27/01/1709) y Diego Méndez de la Calzada (b. 05/12/1640, +10/04/1711), con sus padres.</x:v>
      </x:c>
      <x:c r="C40" s="82" t="str">
        <x:v>https://dialnet.unirioja.es/descarga/articulo/3016531.pdf</x:v>
      </x:c>
      <x:c r="D40" s="82" t="str">
        <x:v>Transcripción de partidas parroquiales – NUEVA 10ª pasada</x:v>
      </x:c>
    </x:row>
    <x:row r="41">
      <x:c r="A41" s="82" t="str">
        <x:v>PARES – pleitos Infanzón de Coaña</x:v>
      </x:c>
      <x:c r="B41" s="82" t="str">
        <x:v>Confirma que la Real Chancillería conserva numerosos expedientes de hidalguía relativos a Coaña e Infanzón, útiles para seguir la rama más allá de los libros parroquiales.</x:v>
      </x:c>
      <x:c r="C41" s="82" t="str">
        <x:v>https://pares.mcu.es/ParesBusquedas20/catalogo/find?archivo=8&amp;idAut=70553&amp;idLP=-1&amp;idN=19&amp;nomAut=Coa%C3%B1a+%28Asturias%2C+Espa%C3%B1a%29&amp;tipoAsocAut=1</x:v>
      </x:c>
      <x:c r="D41" s="82" t="str">
        <x:v>Fuente archivística oficial – NUEVA 10ª pasada</x:v>
      </x:c>
    </x:row>
    <x:row r="42">
      <x:c r="A42" s="85" t="str">
        <x:v>Gonzalo Anes – libros sacramentales Villacondide, hijos de García Morán y Dominga</x:v>
      </x:c>
      <x:c r="B42" s="85" t="str">
        <x:v>Transcribe bautismos de Antonio (1641), dos Francisco (1642/1644), Antonia (1646), María (1651), Suero (1657), Gonzalo (1663) y otros miembros de la familia.</x:v>
      </x:c>
      <x:c r="C42" s="85" t="str">
        <x:v>https://dialnet.unirioja.es/descarga/articulo/3016531.pdf</x:v>
      </x:c>
      <x:c r="D42" s="85" t="str">
        <x:v>Transcripción de fuente parroquial – NUEVA 11ª pasada</x:v>
      </x:c>
    </x:row>
    <x:row r="43">
      <x:c r="A43" s="85" t="str">
        <x:v>Gonzalo Anes – defunciones de García Morán, Alonso Morán y Lucía López</x:v>
      </x:c>
      <x:c r="B43" s="85" t="str">
        <x:v>Da muerte de García Morán 24/04/1680; Alonso Morán 29/11/1697; Lucía López de Aguiar 24/08/1700, con detalles de entierro y testamentos.</x:v>
      </x:c>
      <x:c r="C43" s="85" t="str">
        <x:v>https://dialnet.unirioja.es/descarga/articulo/3016531.pdf</x:v>
      </x:c>
      <x:c r="D43" s="85" t="str">
        <x:v>Transcripción de libros de difuntos – NUEVA 11ª pasada</x:v>
      </x:c>
    </x:row>
    <x:row r="44">
      <x:c r="A44" s="85" t="str">
        <x:v>Gonzalo Anes – descendencia de Alonso Morán y Lucía López</x:v>
      </x:c>
      <x:c r="B44" s="85" t="str">
        <x:v>Bautismos documentados de Antonio 1659, María 1662, mellizas Teresa/María 1666, Francisco 1669, Fernando Antonio 1674, Catalina 1677 y Lucía-Ana 1680.</x:v>
      </x:c>
      <x:c r="C44" s="85" t="str">
        <x:v>https://dialnet.unirioja.es/descarga/articulo/3016531.pdf</x:v>
      </x:c>
      <x:c r="D44" s="85" t="str">
        <x:v>Transcripción de libros parroquiales – NUEVA 11ª pasada</x:v>
      </x:c>
    </x:row>
    <x:row r="45">
      <x:c r="A45" s="85" t="str">
        <x:v>Gonzalo Anes – padrones 1687–1717</x:v>
      </x:c>
      <x:c r="B45" s="85" t="str">
        <x:v>Documenta a Suero Morán, Gonzalo, Francisco y los hijos de Alonso Morán; permite distinguir generaciones y homónimos.</x:v>
      </x:c>
      <x:c r="C45" s="85" t="str">
        <x:v>https://dialnet.unirioja.es/descarga/articulo/3016531.pdf</x:v>
      </x:c>
      <x:c r="D45" s="85" t="str">
        <x:v>Padrones transcritos – NUEVA 11ª pasada</x:v>
      </x:c>
    </x:row>
    <x:row r="46">
      <x:c r="A46" s="94" t="str">
        <x:v>Gonzalo Anes – testamento de Benito Trelles / ascendencia de la casa de Coaña</x:v>
      </x:c>
      <x:c r="B46" s="94" t="str">
        <x:v>Da a Lope Suárez como hijo de Alonso González Coaña y Catalina Suárez de Trelles; a Alonso como hijo de Álvaro González; y a este como hijo de Gonzalo Pérez Pico de Coaña.</x:v>
      </x:c>
      <x:c r="C46" s="94" t="str">
        <x:v>https://dialnet.unirioja.es/descarga/articulo/3016531.pdf</x:v>
      </x:c>
      <x:c r="D46" s="94" t="str">
        <x:v>Fuente académica basada en testamento original – NUEVA 12ª pasada</x:v>
      </x:c>
    </x:row>
    <x:row r="47">
      <x:c r="A47" s="94" t="str">
        <x:v>Gonzalo Anes – escritura matrimonial de Catalina Suárez (1601)</x:v>
      </x:c>
      <x:c r="B47" s="94" t="str">
        <x:v>Identifica a Gonzalo Méndez de Meiro como hijo legítimo de Lope Suárez de Meiro, difunto, y Leonor Alonso.</x:v>
      </x:c>
      <x:c r="C47" s="94" t="str">
        <x:v>https://dialnet.unirioja.es/descarga/articulo/3016531.pdf</x:v>
      </x:c>
      <x:c r="D47" s="94" t="str">
        <x:v>Transcripción de protocolo matrimonial – NUEVA 12ª pasada</x:v>
      </x:c>
    </x:row>
    <x:row r="48">
      <x:c r="A48" s="94" t="str">
        <x:v>Gonzalo Anes – padrones 1620–1632</x:v>
      </x:c>
      <x:c r="B48" s="94" t="str">
        <x:v>Incluye a Fernando González y Juan García entre los hijos legítimos de Suero González de Trelles y María Alonso Infanzón.</x:v>
      </x:c>
      <x:c r="C48" s="94" t="str">
        <x:v>https://dialnet.unirioja.es/descarga/articulo/3016531.pdf</x:v>
      </x:c>
      <x:c r="D48" s="94" t="str">
        <x:v>Padrones transcritos – NUEVA 12ª pasada</x:v>
      </x:c>
    </x:row>
    <x:row r="49">
      <x:c r="A49" s="102" t="str">
        <x:v>Diccionario histórico-genealógico y heráldico de las familias ilustres (s. XIX)</x:v>
      </x:c>
      <x:c r="B49" s="102" t="str">
        <x:v>Expresa la cadena tradicional: Teresa Díaz de Trelles sería 2ª nieta de Suero González, 3ª de Lope Díaz, 4ª de Garci Sánchez, 5ª de Mendo Díaz y 6ª de Diego García.</x:v>
      </x:c>
      <x:c r="C49" s="102" t="str">
        <x:v>https://archive.org/stream/diccionariohist01pascgoog/diccionariohist01pascgoog_djvu.txt</x:v>
      </x:c>
      <x:c r="D49" s="102" t="str">
        <x:v>Fuente genealógica histórica – conexión tradicional</x:v>
      </x:c>
    </x:row>
    <x:row r="50">
      <x:c r="A50" s="102" t="str">
        <x:v>Gonzalo Anes – crítica de la cadena medieval</x:v>
      </x:c>
      <x:c r="B50" s="102" t="str">
        <x:v>Usa la genealogía antigua como pista, pero advierte que las generaciones medievales no quedaron fehacientemente documentadas; por eso el enlace se marca como hipótesis.</x:v>
      </x:c>
      <x:c r="C50" s="102" t="str">
        <x:v>https://dialnet.unirioja.es/descarga/articulo/3016531.pdf</x:v>
      </x:c>
      <x:c r="D50" s="102" t="str">
        <x:v>Fuente académica crítica</x:v>
      </x:c>
    </x:row>
    <x:row r="51">
      <x:c r="A51" s="102" t="str">
        <x:v>Geneanet – Diego Antonio Sánchez de Ron Méndez-Trelles</x:v>
      </x:c>
      <x:c r="B51" s="102" t="str">
        <x:v>Reitera nacimiento 20/10/1763 en Meiro, esposa Rosa María González Fernández y un hijo, sin padres visibles en el resultado abierto.</x:v>
      </x:c>
      <x:c r="C51" s="102" t="str">
        <x:v>https://es.geneanet.org/fonds/individus/?go=1&amp;nom=TRELLES&amp;page=3&amp;prenom=Antonio&amp;prenom_operateur=&amp;size=40&amp;with_variantes_nom=&amp;with_variantes_prenom=</x:v>
      </x:c>
      <x:c r="D51" s="102" t="str">
        <x:v>Árbol colaborativo – pista</x:v>
      </x:c>
    </x:row>
    <x:row r="52">
      <x:c r="A52" s="106" t="str">
        <x:v>Gonzalo Anes – síntesis de la genealogía antigua Lope Díaz → Suero González → Fernando Fernández</x:v>
      </x:c>
      <x:c r="B52" s="106" t="str">
        <x:v>Permite proponer, solo como hipótesis cronológica, que el Suero padre de Alonso en el padrón de 1524 pertenezca a la generación inmediatamente posterior a Lope Díaz.</x:v>
      </x:c>
      <x:c r="C52" s="106" t="str">
        <x:v>https://dialnet.unirioja.es/descarga/articulo/3016531.pdf</x:v>
      </x:c>
      <x:c r="D52" s="106" t="str">
        <x:v>Fuente académica crítica – NUEVA 14ª pasada</x:v>
      </x:c>
    </x:row>
    <x:row r="53">
      <x:c r="A53" s="106" t="str">
        <x:v>Padrones 1542/1554 + padrón 1638, rama Luera</x:v>
      </x:c>
      <x:c r="B53" s="106" t="str">
        <x:v>Juan Alonso de Trelles (1542) y Juan de Luera (1554) comparten solares de Luera/Riego/Tineo; en 1638 un Juan Alonso de Lueyra remite a abuelo y bisabuelo presentes en 1554.</x:v>
      </x:c>
      <x:c r="C53" s="106" t="str">
        <x:v>https://dialnet.unirioja.es/descarga/articulo/3016531.pdf</x:v>
      </x:c>
      <x:c r="D53" s="106" t="str">
        <x:v>Padrones transcritos – NUEVA 14ª pasada</x:v>
      </x:c>
    </x:row>
    <x:row r="54">
      <x:c r="A54" s="106" t="str">
        <x:v>Poblamiento rural en Asturias medieval – disposición piadosa</x:v>
      </x:c>
      <x:c r="B54" s="106" t="str">
        <x:v>Menciona al clérigo Gómez Ares de Trelles, vecino del concejo de Castropol, como encargado de decir misas perpetuas, reforzando su identidad eclesiástica.</x:v>
      </x:c>
      <x:c r="C54" s="106" t="str">
        <x:v>https://de.scribd.com/document/813828827/bl-104</x:v>
      </x:c>
      <x:c r="D54" s="106" t="str">
        <x:v>Fuente histórica secundaria – NUEVA 14ª pasada</x:v>
      </x:c>
    </x:row>
    <x:row r="55">
      <x:c r="A55" s="106" t="str">
        <x:v>PARES – Castropol / Real Chancillería de Valladolid</x:v>
      </x:c>
      <x:c r="B55" s="106" t="str">
        <x:v>Se revisaron pleitos y ejecutorias de Castropol/Coaña; no apareció filiación directa para García Gómez o los hermanos de Pumarín en los resultados indexados.</x:v>
      </x:c>
      <x:c r="C55" s="106" t="str">
        <x:v>https://pares.cultura.gob.es/ParesBusquedas20/catalogo/find?archivo=8&amp;idAut=70373&amp;idD=S&amp;nomAut=Castropol+%28Asturias%2C+Espa%C3%B1a%29&amp;tipoAsocAut=1</x:v>
      </x:c>
      <x:c r="D55" s="106" t="str">
        <x:v>Fuente archivística oficial – búsqueda negativa útil</x:v>
      </x:c>
    </x:row>
    <x:row r="56">
      <x:c r="A56" s="110" t="str">
        <x:v>Gonzalo Anes – Los Trelles de Mohías, Apéndice III, p. 797</x:v>
      </x:c>
      <x:c r="B56" s="110" t="str">
        <x:v>Transcribe el padrón de 1524 como «Álvaro, fijo de Suero González de Treles» y en 1572 distingue «Gómez Ares» de «el clérigo Gómez Ares».</x:v>
      </x:c>
      <x:c r="C56" s="110" t="str">
        <x:v>https://dialnet.unirioja.es/descarga/articulo/4151486.pdf</x:v>
      </x:c>
      <x:c r="D56" s="110" t="str">
        <x:v>Fuente académica / transcripción – NUEVA 15ª pasada</x:v>
      </x:c>
    </x:row>
    <x:row r="57">
      <x:c r="A57" s="110" t="str">
        <x:v>Gonzalo Anes – Los Trelles de Mohías, nota 49, p. 806</x:v>
      </x:c>
      <x:c r="B57" s="110" t="str">
        <x:v>En otra nota del mismo estudio transcribe «Alonso, hijo de Suero González de Treles», creando una discrepancia interna que obliga a consultar el padrón original.</x:v>
      </x:c>
      <x:c r="C57" s="110" t="str">
        <x:v>https://dialnet.unirioja.es/descarga/articulo/4151486.pdf</x:v>
      </x:c>
      <x:c r="D57" s="110" t="str">
        <x:v>Fuente académica / conflicto interno</x:v>
      </x:c>
    </x:row>
    <x:row r="58">
      <x:c r="A58" s="110" t="str">
        <x:v>Gonzalo Anes – Una investigación genealógica: Estirpes de la Casa Trelles</x:v>
      </x:c>
      <x:c r="B58" s="110" t="str">
        <x:v>También lee «Alonso, hijo de Suero González» en 1524; confirma a García González de Pumarín y Pedro como hermanos y a García Gómez como empadronador noble.</x:v>
      </x:c>
      <x:c r="C58" s="110" t="str">
        <x:v>https://dialnet.unirioja.es/descarga/articulo/3016531.pdf</x:v>
      </x:c>
      <x:c r="D58" s="110" t="str">
        <x:v>Fuente académica</x:v>
      </x:c>
    </x:row>
    <x:row r="59">
      <x:c r="A59" s="110" t="str">
        <x:v>Geneanet – Diego Antonio Sánchez de Ron Méndez-Trelles</x:v>
      </x:c>
      <x:c r="B59" s="110" t="str">
        <x:v>Sigue aportando 20/10/1763 Meiro y esposa Rosa María González Fernández, pero sin padres visibles.</x:v>
      </x:c>
      <x:c r="C59" s="110" t="str">
        <x:v>https://es.geneanet.org/fonds/individus/?go=1&amp;nom=TRELLES&amp;page=6&amp;prenom=Antonio&amp;size=20</x:v>
      </x:c>
      <x:c r="D59" s="110" t="str">
        <x:v>Árbol colaborativo – pista</x:v>
      </x:c>
    </x:row>
    <x:row r="60">
      <x:c r="A60" s="121" t="str">
        <x:v>Gonzalo Anes – Estirpes de la Casa Trelles, revisión de ocurrencias exactas</x:v>
      </x:c>
      <x:c r="B60" s="121" t="str">
        <x:v>Las únicas menciones localizadas para García Gómez, Gómez Ares, García González de Pumarín y Pedro son las de los padrones ya conocidos; no se aporta filiación adicional.</x:v>
      </x:c>
      <x:c r="C60" s="121" t="str">
        <x:v>https://dialnet.unirioja.es/descarga/articulo/3016531.pdf</x:v>
      </x:c>
      <x:c r="D60" s="121" t="str">
        <x:v>Revisión exhaustiva de fuente académica – 16ª pasada</x:v>
      </x:c>
    </x:row>
    <x:row r="61">
      <x:c r="A61" s="121" t="str">
        <x:v>Gonzalo Anes – Los Trelles de Mohías, revisión de ocurrencias exactas</x:v>
      </x:c>
      <x:c r="B61" s="121" t="str">
        <x:v>Confirma el padrón de 1524 y la separación en 1572 entre Gómez Ares y el clérigo Gómez Ares. No añade padres ni descendencia de los pendientes.</x:v>
      </x:c>
      <x:c r="C61" s="121" t="str">
        <x:v>https://dialnet.unirioja.es/descarga/articulo/4151486.pdf</x:v>
      </x:c>
      <x:c r="D61" s="121" t="str">
        <x:v>Revisión exhaustiva de fuente académica – 16ª pasada</x:v>
      </x:c>
    </x:row>
    <x:row r="62">
      <x:c r="A62" s="121" t="str">
        <x:v>PARES – búsquedas nominales de pendientes</x:v>
      </x:c>
      <x:c r="B62" s="121" t="str">
        <x:v>No se obtuvieron resultados indexados por nombre exacto para García Gómez de Trelles, Gómez Ares de Trelles, García González de Pumarín, Pedro de Pumarín o Sánchez de Ron Méndez-Trelles.</x:v>
      </x:c>
      <x:c r="C62" s="121" t="str">
        <x:v>https://pares.cultura.gob.es/</x:v>
      </x:c>
      <x:c r="D62" s="121" t="str">
        <x:v>Búsqueda archivística negativa útil – 16ª pasada</x:v>
      </x:c>
    </x:row>
    <x:row r="63">
      <x:c r="A63" s="121" t="str">
        <x:v>Familia Ron – estudio genealógico publicado en web</x:v>
      </x:c>
      <x:c r="B63" s="121" t="str">
        <x:v>La búsqueda dentro del estudio no devuelve Diego Antonio Sánchez de Ron Méndez-Trelles, Meiro, 1763 ni Rosa María González Fernández.</x:v>
      </x:c>
      <x:c r="C63" s="121" t="str">
        <x:v>https://www.familia-ron.org/LA%20CASA%20DE%20RON.html</x:v>
      </x:c>
      <x:c r="D63" s="121" t="str">
        <x:v>Búsqueda negativa útil – 16ª pasada</x:v>
      </x:c>
    </x:row>
    <x:row r="64">
      <x:c r="A64" s="121" t="str">
        <x:v>Xenealoxía.org – Fidalgos de Trelles</x:v>
      </x:c>
      <x:c r="B64" s="121" t="str">
        <x:v>Aporta contexto y padrones tardíos de Trelles, pero no filiación para los seis candidatos pendientes del siglo XVI/1763.</x:v>
      </x:c>
      <x:c r="C64" s="121" t="str">
        <x:v>https://foros.xenealoxia.org/viewtopic.php?t=2617</x:v>
      </x:c>
      <x:c r="D64" s="121" t="str">
        <x:v>Fuente comunitaria histórica – 16ª pasada</x:v>
      </x:c>
    </x:row>
    <x:row r="65">
      <x:c r="A65" s="133" t="str">
        <x:v>Benito de Trelles – biografía</x:v>
      </x:c>
      <x:c r="B65" s="133" t="str">
        <x:v>Confirma Serandinas como nacimiento de Benito, Madrid como lugar de defunción y señala que su abuelo Lope Suárez de Trelles y Villamil era natural de Serandinas.</x:v>
      </x:c>
      <x:c r="C65" s="133" t="str">
        <x:v>https://es.wikipedia.org/wiki/Benito_de_Trelles</x:v>
      </x:c>
      <x:c r="D65" s="133" t="str">
        <x:v>Biografía con referencias archivísticas – NUEVA 17ª pasada</x:v>
      </x:c>
    </x:row>
    <x:row r="66">
      <x:c r="A66" s="133" t="str">
        <x:v>UC3M – Colegiales, Benito de Trelles y Villamil</x:v>
      </x:c>
      <x:c r="B66" s="133" t="str">
        <x:v>Confirma la identidad, nacimiento en Serandinas el 04/04/1613 y cronología 1613–1682.</x:v>
      </x:c>
      <x:c r="C66" s="133" t="str">
        <x:v>https://biblioteca3.uc3m.es/Colegiales/ficha.php?codigo=1355</x:v>
      </x:c>
      <x:c r="D66" s="133" t="str">
        <x:v>Base académica – NUEVA 17ª pasada</x:v>
      </x:c>
    </x:row>
    <x:row r="67">
      <x:c r="A67" s="133" t="str">
        <x:v>Gonzalo Anes – Estirpes de la Casa Trelles</x:v>
      </x:c>
      <x:c r="B67" s="133" t="str">
        <x:v>Indica que Suero González de Trelles y María Alfonso Infanzón estaban sepultados en la parroquia de Trelles; también aporta lugares de origen/naturalidad de varias ramas.</x:v>
      </x:c>
      <x:c r="C67" s="133" t="str">
        <x:v>https://dialnet.unirioja.es/descarga/articulo/3016531.pdf</x:v>
      </x:c>
      <x:c r="D67" s="133" t="str">
        <x:v>Fuente académica / fuentes primarias transcritas – revisión 17ª</x:v>
      </x:c>
    </x:row>
    <x:row r="68">
      <x:c r="A68" s="133" t="str">
        <x:v>Revisión global de lugares</x:v>
      </x:c>
      <x:c r="B68" s="133" t="str">
        <x:v>Se revisaron las 166 entradas del Excel. Cuando una fuente solo permite conocer residencia o sepultura, no se ha convertido ese dato en lugar de nacimiento o defunción.</x:v>
      </x:c>
      <x:c r="C68" s="133" t="str"/>
      <x:c r="D68" s="133" t="str">
        <x:v>Criterio metodológico – 17ª pasada</x:v>
      </x:c>
    </x:row>
    <x:row r="69">
      <x:c r="A69" s="136" t="str">
        <x:v>Gonzalo Anes – Diego Méndez de la Murola</x:v>
      </x:c>
      <x:c r="B69" s="136" t="str">
        <x:v>Afirma literalmente que Diego Méndez de la Murola falleció en Villacondide el 10/04/1711.</x:v>
      </x:c>
      <x:c r="C69" s="136" t="str">
        <x:v>https://dialnet.unirioja.es/descarga/articulo/3016531.pdf</x:v>
      </x:c>
      <x:c r="D69" s="136" t="str">
        <x:v>Fuente académica / transcripción parroquial – 18ª pasada</x:v>
      </x:c>
    </x:row>
    <x:row r="70">
      <x:c r="A70" s="136" t="str">
        <x:v>Gonzalo Anes – Lucía López de Aguiar</x:v>
      </x:c>
      <x:c r="B70" s="136" t="str">
        <x:v>Afirma literalmente que Lucía López de Aguiar falleció en Villacondide el 24/08/1700.</x:v>
      </x:c>
      <x:c r="C70" s="136" t="str">
        <x:v>https://dialnet.unirioja.es/descarga/articulo/3016531.pdf</x:v>
      </x:c>
      <x:c r="D70" s="136" t="str">
        <x:v>Fuente académica / transcripción parroquial – 18ª pasada</x:v>
      </x:c>
    </x:row>
    <x:row r="71">
      <x:c r="A71" s="136" t="str">
        <x:v>Gonzalo Anes – María Álvarez Morán, Alonso Morán, García Morán y Lucía-Ana</x:v>
      </x:c>
      <x:c r="B71" s="136" t="str">
        <x:v>Para varios casos la publicación aporta libro de difuntos/entierro o sepultura en Villacondide, pero no siempre expresa literalmente que el fallecimiento físico ocurriera allí.</x:v>
      </x:c>
      <x:c r="C71" s="136" t="str">
        <x:v>https://dialnet.unirioja.es/descarga/articulo/3016531.pdf</x:v>
      </x:c>
      <x:c r="D71" s="136" t="str">
        <x:v>Corrección metodológica – 18ª pasada</x:v>
      </x:c>
    </x:row>
    <x:row r="72">
      <x:c r="A72" s="136" t="str">
        <x:v>Criterio de la 18ª pasada</x:v>
      </x:c>
      <x:c r="B72" s="136" t="str">
        <x:v>Se separa estrictamente lugar de defunción de lugar de entierro, parroquia del registro y residencia.</x:v>
      </x:c>
      <x:c r="C72" s="136" t="str"/>
      <x:c r="D72" s="136" t="str">
        <x:v>Criterio metodológico</x:v>
      </x:c>
    </x:row>
    <x:row r="73">
      <x:c r="A73" s="139" t="str">
        <x:v>Gonzalo Anes – pruebas de 1666 sobre Lope Suárez</x:v>
      </x:c>
      <x:c r="B73" s="139" t="str">
        <x:v>Dice expresamente que el capitán Lope Suárez de Trelles era natural de Serandinas; corrige la confusión entre lugar de bautismo y nacimiento.</x:v>
      </x:c>
      <x:c r="C73" s="139" t="str">
        <x:v>https://dialnet.unirioja.es/descarga/articulo/3016531.pdf</x:v>
      </x:c>
      <x:c r="D73" s="139" t="str">
        <x:v>Fuente académica basada en pruebas de limpieza – NUEVA 19ª pasada</x:v>
      </x:c>
    </x:row>
    <x:row r="74">
      <x:c r="A74" s="139" t="str">
        <x:v>Gonzalo Anes – naturales de Pumarín / Coaña</x:v>
      </x:c>
      <x:c r="B74" s="139" t="str">
        <x:v>Recoge que Suero González era natural y vecino de Pumarín y que María Alonso Infanzón había nacido en Coaña.</x:v>
      </x:c>
      <x:c r="C74" s="139" t="str">
        <x:v>https://dialnet.unirioja.es/descarga/articulo/3016531.pdf</x:v>
      </x:c>
      <x:c r="D74" s="139" t="str">
        <x:v>Fuente académica – NUEVA 19ª pasada</x:v>
      </x:c>
    </x:row>
    <x:row r="75">
      <x:c r="A75" s="139" t="str">
        <x:v>Colección Salazar y Castro D-45, reproducida por Gonzalo Anes</x:v>
      </x:c>
      <x:c r="B75" s="139" t="str">
        <x:v>Da a Fernando Fernández de Trelles y Teresa del Río como naturales de Pumarín; otra declaración antigua dice «Callinas [sic.]», conflicto conservado.</x:v>
      </x:c>
      <x:c r="C75" s="139" t="str">
        <x:v>https://dialnet.unirioja.es/descarga/articulo/3016531.pdf</x:v>
      </x:c>
      <x:c r="D75" s="139" t="str">
        <x:v>Genealogía histórica / conflicto controlado – NUEVA 19ª pasada</x:v>
      </x:c>
    </x:row>
    <x:row r="76">
      <x:c r="A76" s="139" t="str">
        <x:v>Tabla genealógica final de Estirpes de la Casa Trelles</x:v>
      </x:c>
      <x:c r="B76" s="139" t="str">
        <x:v>Indica literalmente que María Álvarez Morán de Trelles murió el 27/01/1709 en Villacondide.</x:v>
      </x:c>
      <x:c r="C76" s="139" t="str">
        <x:v>https://dialnet.unirioja.es/descarga/articulo/3016531.pdf</x:v>
      </x:c>
      <x:c r="D76" s="139" t="str">
        <x:v>Fuente académica / transcripción parroquial – NUEVA 19ª pasada</x:v>
      </x:c>
    </x:row>
    <x:row r="77">
      <x:c r="A77" s="139" t="str">
        <x:v>FamilySearch – Gonzalo Méndez de Trelles y Coaña</x:v>
      </x:c>
      <x:c r="B77" s="139" t="str">
        <x:v>Propone Boal como nacimiento, pero no se incorpora como lugar confirmado por no mostrar fuente primaria visible en el resultado abierto.</x:v>
      </x:c>
      <x:c r="C77" s="139" t="str">
        <x:v>https://ancestors.familysearch.org/en/LYQZ-VDJ/gonzalo-mendez-de-trelles-y-coa%C3%B1a-</x:v>
      </x:c>
      <x:c r="D77" s="139" t="str">
        <x:v>Árbol colaborativo – pista no promovida</x:v>
      </x:c>
    </x:row>
    <x:row r="78">
      <x:c r="A78" s="141" t="str">
        <x:v>Asturias Ilustrada / Trelles Villademoros – rama Coaña/Meiro</x:v>
      </x:c>
      <x:c r="B78" s="141" t="str">
        <x:v>Hace a Catalina Suárez de Trelles hija de Gómez Arias de Trelles; además sitúa a Alonso y Álvaro González de Coaña en la casa/solar de Meiro.</x:v>
      </x:c>
      <x:c r="C78" s="141" t="str">
        <x:v>https://idus.us.es/server/api/core/bitstreams/4d5a11bd-b8ae-4c90-b1c9-2c58368d1a8c/content</x:v>
      </x:c>
      <x:c r="D78" s="141" t="str">
        <x:v>Genealogía histórica – NUEVA 20ª pasada</x:v>
      </x:c>
    </x:row>
    <x:row r="79">
      <x:c r="A79" s="141" t="str">
        <x:v>Gonzalo Anes – testamento de Benito Trelles</x:v>
      </x:c>
      <x:c r="B79" s="141" t="str">
        <x:v>Reproduce a Catalina Suárez como hija de Arias de Trelles. El conflicto con «Gómez Arias» se conserva como hipótesis, no como fusión automática.</x:v>
      </x:c>
      <x:c r="C79" s="141" t="str">
        <x:v>https://dialnet.unirioja.es/descarga/articulo/3016531.pdf</x:v>
      </x:c>
      <x:c r="D79" s="141" t="str">
        <x:v>Fuente académica basada en testamento – NUEVA 20ª pasada</x:v>
      </x:c>
    </x:row>
    <x:row r="80">
      <x:c r="A80" s="141" t="str">
        <x:v>Marquesado de Sala de Partinico – ascendencia geográfica</x:v>
      </x:c>
      <x:c r="B80" s="141" t="str">
        <x:v>Precisa que Leonor Alfonso de Lantoira procedía de la Casa de Lantoira en San Juan de Moldes (Castropol), sin afirmar literalmente que naciera allí.</x:v>
      </x:c>
      <x:c r="C80" s="141" t="str">
        <x:v>https://es.wikipedia.org/wiki/Marquesado_de_Sala_de_Partinico</x:v>
      </x:c>
      <x:c r="D80" s="141" t="str">
        <x:v>Biografía genealógica con referencias – NUEVA 20ª pasada</x:v>
      </x:c>
    </x:row>
    <x:row r="81">
      <x:c r="A81" s="141" t="str">
        <x:v>Criterio de lugares – 20ª pasada</x:v>
      </x:c>
      <x:c r="B81" s="141" t="str">
        <x:v>Casa, residencia, señorío o lugar de enterramiento no se convierten automáticamente en lugar de nacimiento o defunción.</x:v>
      </x:c>
      <x:c r="C81" s="141" t="str"/>
      <x:c r="D81" s="141" t="str">
        <x:v>Criterio metodológico</x:v>
      </x:c>
    </x:row>
    <x:row r="82">
      <x:c r="A82" s="146" t="str">
        <x:v>Pruebas de Benito Trelles (1666) – naturalidades</x:v>
      </x:c>
      <x:c r="B82" s="146" t="str">
        <x:v>Declara a Lope Méndez de Trelles y María García como naturales y vecinos de Trelles, y a Fernán López como natural y vecino del mismo lugar.</x:v>
      </x:c>
      <x:c r="C82" s="146" t="str">
        <x:v>https://dialnet.unirioja.es/descarga/articulo/3016531.pdf</x:v>
      </x:c>
      <x:c r="D82" s="146" t="str">
        <x:v>Fuente académica basada en expediente primario – NUEVA 21ª pasada</x:v>
      </x:c>
    </x:row>
    <x:row r="83">
      <x:c r="A83" s="146" t="str">
        <x:v>Pruebas de Benito Trelles (1666) – fechas retrospectivas</x:v>
      </x:c>
      <x:c r="B83" s="146" t="str">
        <x:v>Un testimonio sitúa la muerte de Suero González unos 52 años antes y la de María Alonso Infanzón más de 68 años antes.</x:v>
      </x:c>
      <x:c r="C83" s="146" t="str">
        <x:v>https://dialnet.unirioja.es/descarga/articulo/3016531.pdf</x:v>
      </x:c>
      <x:c r="D83" s="146" t="str">
        <x:v>Testimonio retrospectivo – NUEVA 21ª pasada</x:v>
      </x:c>
    </x:row>
    <x:row r="84">
      <x:c r="A84" s="146" t="str">
        <x:v>Casa de Lantoira</x:v>
      </x:c>
      <x:c r="B84" s="146" t="str">
        <x:v>Se localiza en San Juan de Moldes, Castropol; se mantiene como origen de casa, no como nacimiento de Leonor Alfonso.</x:v>
      </x:c>
      <x:c r="C84" s="146" t="str">
        <x:v>https://infosekolah.net/es/Marquesado_de_Sala_de_Partinico</x:v>
      </x:c>
      <x:c r="D84" s="146" t="str">
        <x:v>Fuente secundaria – 21ª pasada</x:v>
      </x:c>
    </x:row>
    <x:row r="85">
      <x:c r="A85" s="146" t="str">
        <x:v>PARES – Coaña</x:v>
      </x:c>
      <x:c r="B85" s="146" t="str">
        <x:v>Se revisan pleitos y probanzas del concejo; la mayoría de expedientes relevantes no están digitalizados, lo que limita completar lugares sin consulta archivística.</x:v>
      </x:c>
      <x:c r="C85" s="146" t="str">
        <x:v>https://pares.mcu.es/ParesBusquedas20/catalogo/find?archivo=8&amp;idAut=70553&amp;idLP=-1&amp;idN=19&amp;nomAut=Coa%C3%B1a+%28Asturias%2C+Espa%C3%B1a%29&amp;tipoAsocAut=1</x:v>
      </x:c>
      <x:c r="D85" s="146" t="str">
        <x:v>Fuente archivística oficial – 21ª pasada</x:v>
      </x:c>
    </x:row>
    <x:row r="86">
      <x:c r="A86" s="149" t="str">
        <x:v>Gonzalo Anes – testimonio sobre Suero González</x:v>
      </x:c>
      <x:c r="B86" s="149" t="str">
        <x:v>La transcripción exacta dice que Suero González de Trelles había muerto hacía más de cincuenta años; el autor concluye «antes de 1610».</x:v>
      </x:c>
      <x:c r="C86" s="149" t="str">
        <x:v>https://dialnet.unirioja.es/descarga/articulo/3016531.pdf</x:v>
      </x:c>
      <x:c r="D86" s="149" t="str">
        <x:v>Fuente académica / corrección cronológica – NUEVA 22ª pasada</x:v>
      </x:c>
    </x:row>
    <x:row r="87">
      <x:c r="A87" s="149" t="str">
        <x:v>Gonzalo Anes – sepultura de Lope Méndez y María García</x:v>
      </x:c>
      <x:c r="B87" s="149" t="str">
        <x:v>El testigo no conocía cuándo habían muerto, pero declaró que ambos estaban enterrados en la parroquia de Trelles.</x:v>
      </x:c>
      <x:c r="C87" s="149" t="str">
        <x:v>https://dialnet.unirioja.es/descarga/articulo/3016531.pdf</x:v>
      </x:c>
      <x:c r="D87" s="149" t="str">
        <x:v>Fuente académica / sepultura – NUEVA 22ª pasada</x:v>
      </x:c>
    </x:row>
    <x:row r="88">
      <x:c r="A88" s="149" t="str">
        <x:v>Marquesado de Sala de Partinico – ascendencia de María Alfonso Infanzón</x:v>
      </x:c>
      <x:c r="B88" s="149" t="str">
        <x:v>Indica que descendía de la Casa de Lamabona, en San Antolín de Villanueva, concejo de Navia.</x:v>
      </x:c>
      <x:c r="C88" s="149" t="str">
        <x:v>https://es.wikipedia.org/wiki/Marquesado_de_Sala_de_Partinico</x:v>
      </x:c>
      <x:c r="D88" s="149" t="str">
        <x:v>Fuente secundaria con referencias – NUEVA 22ª pasada</x:v>
      </x:c>
    </x:row>
    <x:row r="89">
      <x:c r="A89" s="149" t="str">
        <x:v>Criterio de lugares – 22ª pasada</x:v>
      </x:c>
      <x:c r="B89" s="149" t="str">
        <x:v>Lugar de sepultura y origen de casa/linaje se mantienen separados del lugar de defunción y nacimiento.</x:v>
      </x:c>
      <x:c r="C89" s="149" t="str"/>
      <x:c r="D89" s="149" t="str">
        <x:v>Criterio metodológico</x:v>
      </x:c>
    </x:row>
    <x:row r="90">
      <x:c r="A90" s="151" t="str">
        <x:v>Gonzalo Anes – Alonso Fernández del Valle y María Francisca del Valle</x:v>
      </x:c>
      <x:c r="B90" s="151" t="str">
        <x:v>Documenta a Alonso como vecino de La Murola y enterrado en Villacondide en 1739; da a María Francisca como hija de Alonso y María Méndez y fallecida en Villacondide en 1760.</x:v>
      </x:c>
      <x:c r="C90" s="151" t="str">
        <x:v>https://dialnet.unirioja.es/descarga/articulo/3016531.pdf</x:v>
      </x:c>
      <x:c r="D90" s="151" t="str">
        <x:v>Fuente académica basada en libros parroquiales – NUEVA 23ª pasada</x:v>
      </x:c>
    </x:row>
    <x:row r="91">
      <x:c r="A91" s="151" t="str">
        <x:v>Gonzalo Anes – Francisco-Antonio-Pablo García Infanzón y Omaña</x:v>
      </x:c>
      <x:c r="B91" s="151" t="str">
        <x:v>Tabla genealógica: nacido en Villacondide el 30/06/1742; texto: falleció en su casa de La Murola, Villacondide, en enero de 1808; enterrado allí el 19/01/1808.</x:v>
      </x:c>
      <x:c r="C91" s="151" t="str">
        <x:v>https://dialnet.unirioja.es/descarga/articulo/3016531.pdf</x:v>
      </x:c>
      <x:c r="D91" s="151" t="str">
        <x:v>Fuente académica / partida parroquial – NUEVA 23ª pasada</x:v>
      </x:c>
    </x:row>
    <x:row r="92">
      <x:c r="A92" s="151" t="str">
        <x:v>Gonzalo Anes – Bernardo García del Real</x:v>
      </x:c>
      <x:c r="B92" s="151" t="str">
        <x:v>Matrimonio con María Francisca el 03/06/1744; hijo de Juan García del Real y Juana Fernández, vecinos de Trelles; falleció en 1754 y fue sepultado el 07/02.</x:v>
      </x:c>
      <x:c r="C92" s="151" t="str">
        <x:v>https://dialnet.unirioja.es/descarga/articulo/3016531.pdf</x:v>
      </x:c>
      <x:c r="D92" s="151" t="str">
        <x:v>Fuente académica / libros parroquiales – NUEVA 23ª pasada</x:v>
      </x:c>
    </x:row>
    <x:row r="93">
      <x:c r="A93" s="151" t="str">
        <x:v>Gaceta de Madrid 1841 – Juan García del Real</x:v>
      </x:c>
      <x:c r="B93" s="151" t="str">
        <x:v>Localiza a un Juan García del Real natural de Trelles que murió en el Hospital General de Madrid en 1838. No se fusiona con ID180 por cronología incompatible; demuestra que el apellido persistía en Trelles.</x:v>
      </x:c>
      <x:c r="C93" s="151" t="str">
        <x:v>https://www.boe.es/diario_gazeta/comun/pdf.php?do=1&amp;p=1841%2F09%2F20%2Fpdfs%2FGMD-1841-2530.pdf</x:v>
      </x:c>
      <x:c r="D93" s="151" t="str">
        <x:v>Fuente oficial – homónimo descartado</x:v>
      </x:c>
    </x:row>
    <x:row r="94">
      <x:c r="A94" s="154" t="str">
        <x:v>Gonzalo Anes – descendencia de Francisco García Infanzón y Bárbara Cienfuegos</x:v>
      </x:c>
      <x:c r="B94" s="154" t="str">
        <x:v>Documenta matrimonio en 1763 y diez hijos nacidos entre 1763 y 1786 en La Murola/Villacondide.</x:v>
      </x:c>
      <x:c r="C94" s="154" t="str">
        <x:v>https://dialnet.unirioja.es/descarga/articulo/3016531.pdf</x:v>
      </x:c>
      <x:c r="D94" s="154" t="str">
        <x:v>Fuente académica basada en libros parroquiales – NUEVA 24ª pasada</x:v>
      </x:c>
    </x:row>
    <x:row r="95">
      <x:c r="A95" s="154" t="str">
        <x:v>Libro de bautizados de Villacondide, transcrito por Gonzalo Anes</x:v>
      </x:c>
      <x:c r="B95" s="154" t="str">
        <x:v>Aporta fechas de nacimiento/bautismo de María Antonia Cayetana, Francisca Bárbara, José Francisco, Alonso, Diego Antonio, Clara, Antonia María, Josefa, María Antonia y Tomás Antonio.</x:v>
      </x:c>
      <x:c r="C95" s="154" t="str">
        <x:v>https://dialnet.unirioja.es/descarga/articulo/3016531.pdf</x:v>
      </x:c>
      <x:c r="D95" s="154" t="str">
        <x:v>Fuente parroquial transcrita – NUEVA 24ª pasada</x:v>
      </x:c>
    </x:row>
    <x:row r="96">
      <x:c r="A96" s="154" t="str">
        <x:v>Libro de entierros de Villacondide, transcrito por Gonzalo Anes</x:v>
      </x:c>
      <x:c r="B96" s="154" t="str">
        <x:v>Documenta fallecimientos/entierros de José Francisco, Tomás, Clara y Francisca Bárbara.</x:v>
      </x:c>
      <x:c r="C96" s="154" t="str">
        <x:v>https://dialnet.unirioja.es/descarga/articulo/3016531.pdf</x:v>
      </x:c>
      <x:c r="D96" s="154" t="str">
        <x:v>Fuente parroquial transcrita – NUEVA 24ª pasada</x:v>
      </x:c>
    </x:row>
    <x:row r="97">
      <x:c r="A97" s="154" t="str">
        <x:v>Partida de Francisca Bárbara de 1853</x:v>
      </x:c>
      <x:c r="B97" s="154" t="str">
        <x:v>La declara natural de Villacondide e hija de Francisco Infanzón y Bárbara Cienfuegos, ambos naturales del mismo pueblo.</x:v>
      </x:c>
      <x:c r="C97" s="154" t="str">
        <x:v>https://dialnet.unirioja.es/descarga/articulo/3016531.pdf</x:v>
      </x:c>
      <x:c r="D97" s="154" t="str">
        <x:v>Fuente parroquial transcrita – NUEVA 24ª pasada</x:v>
      </x:c>
    </x:row>
    <x:row r="98">
      <x:c r="A98" s="154" t="str">
        <x:v>Domingo Méndez Cabodevilla</x:v>
      </x:c>
      <x:c r="B98" s="154" t="str">
        <x:v>Gonzalo Anes señala que falleció en el río Navia el 16/09/1846.</x:v>
      </x:c>
      <x:c r="C98" s="154" t="str">
        <x:v>https://dialnet.unirioja.es/descarga/articulo/3016531.pdf</x:v>
      </x:c>
      <x:c r="D98" s="154" t="str">
        <x:v>Fuente académica / libro de entierros – NUEVA 24ª pasada</x:v>
      </x:c>
    </x:row>
    <x:row r="99">
      <x:c r="A99" s="165" t="str">
        <x:v>Diccionario histórico, genealógico y heráldico – linaje Trelles</x:v>
      </x:c>
      <x:c r="B99" s="165" t="str">
        <x:v>Presenta la cadena tradicional Diego García → Mendo Díaz → Garci Sánchez → Lope Díaz → Suero González, y atribuye a Diego García la muerte en Aljubarrota en 1385.</x:v>
      </x:c>
      <x:c r="C99" s="165" t="str">
        <x:v>https://archive.org/stream/diccionariohist01pascgoog/diccionariohist01pascgoog_djvu.txt</x:v>
      </x:c>
      <x:c r="D99" s="165" t="str">
        <x:v>Genealogía histórica del siglo XIX – NUEVA 25ª pasada</x:v>
      </x:c>
    </x:row>
    <x:row r="100">
      <x:c r="A100" s="165" t="str">
        <x:v>Gonzalo Anes – crítica de la genealogía medieval Trelles</x:v>
      </x:c>
      <x:c r="B100" s="165" t="str">
        <x:v>Señala expresamente que la sucesión de descendientes medievales hasta Lope Díaz de Trelles no está fundamentada documentalmente.</x:v>
      </x:c>
      <x:c r="C100" s="165" t="str">
        <x:v>https://dialnet.unirioja.es/descarga/articulo/3016531.pdf</x:v>
      </x:c>
      <x:c r="D100" s="165" t="str">
        <x:v>Fuente académica crítica – NUEVA 25ª pasada</x:v>
      </x:c>
    </x:row>
    <x:row r="101">
      <x:c r="A101" s="165" t="str">
        <x:v>Gonzalo Anes – Gonzalo Pérez Pico de Coaña</x:v>
      </x:c>
      <x:c r="B101" s="165" t="str">
        <x:v>El testamento familiar lo identifica como hijo segundo del poseedor de la casa solar de Coaña y heredero de Meiro, Nadou y Castañeira.</x:v>
      </x:c>
      <x:c r="C101" s="165" t="str">
        <x:v>https://dialnet.unirioja.es/descarga/articulo/3016531.pdf</x:v>
      </x:c>
      <x:c r="D101" s="165" t="str">
        <x:v>Fuente académica basada en testamento – NUEVA 25ª pasada</x:v>
      </x:c>
    </x:row>
    <x:row r="102">
      <x:c r="A102" s="165" t="str">
        <x:v>Trelles Villademoros / Asturias Ilustrada</x:v>
      </x:c>
      <x:c r="B102" s="165" t="str">
        <x:v>Desarrolla las genealogías antiguas de las casas de Trelles y Coaña, útil como pista pero no equivalente a prueba primaria medieval.</x:v>
      </x:c>
      <x:c r="C102" s="165" t="str">
        <x:v>https://idus.us.es/server/api/core/bitstreams/4d5a11bd-b8ae-4c90-b1c9-2c58368d1a8c/content</x:v>
      </x:c>
      <x:c r="D102" s="165" t="str">
        <x:v>Genealogía histórica – NUEVA 25ª pasada</x:v>
      </x:c>
    </x:row>
    <x:row r="103">
      <x:c r="A103" s="165" t="str">
        <x:v>Criterio 25ª pasada</x:v>
      </x:c>
      <x:c r="B103" s="165" t="str">
        <x:v>Se separan en una hoja propia los individuos documentados de los medievales puramente tradicionales.</x:v>
      </x:c>
      <x:c r="C103" s="165" t="str"/>
      <x:c r="D103" s="165" t="str">
        <x:v>Criterio metodológico</x:v>
      </x:c>
    </x:row>
  </x:sheetData>
  <x:pageMargins left="0.7" right="0.7" top="0.75" bottom="0.75" header="0.3" footer="0.3"/>
  <x:tableParts count="1">
    <x:tablePart xmlns:r="http://schemas.openxmlformats.org/officeDocument/2006/relationships" r:id="R6bd5109eaf7f4867"/>
  </x:tableParts>
</x:worksheet>
</file>

<file path=xl/worksheets/sheet3.xml><?xml version="1.0" encoding="utf-8"?>
<x:worksheet xmlns:x="http://schemas.openxmlformats.org/spreadsheetml/2006/main">
  <x:sheetFormatPr defaultRowHeight="15"/>
  <x:cols>
    <x:col min="1" max="1" width="45" hidden="0" customWidth="1"/>
    <x:col min="2" max="2" width="65" hidden="0" customWidth="1"/>
    <x:col min="3" max="3" width="65" hidden="0" customWidth="1"/>
    <x:col min="4" max="4" width="12" hidden="0" customWidth="1"/>
  </x:cols>
  <x:sheetData>
    <x:row r="1">
      <x:c r="A1" s="42" t="str">
        <x:v>Investigación genealógica – resumen</x:v>
      </x:c>
      <x:c r="B1" s="12"/>
      <x:c r="C1" s="12"/>
      <x:c r="D1" s="12"/>
    </x:row>
    <x:row r="2">
      <x:c r="A2" s="12"/>
      <x:c r="B2" s="12"/>
      <x:c r="C2" s="12"/>
      <x:c r="D2" s="12"/>
    </x:row>
    <x:row r="3">
      <x:c r="A3" s="43" t="str">
        <x:v>Métrica</x:v>
      </x:c>
      <x:c r="B3" s="43" t="str">
        <x:v>Valor</x:v>
      </x:c>
      <x:c r="C3" s="43" t="str">
        <x:v>Notas</x:v>
      </x:c>
      <x:c r="D3" s="43" t="str"/>
    </x:row>
    <x:row r="4">
      <x:c r="A4" s="12" t="str">
        <x:v>Entradas/personas legibles en la captura</x:v>
      </x:c>
      <x:c r="B4" s="12" t="n">
        <x:f>COUNTA(Resultados!B2:B72)</x:f>
        <x:v>71</x:v>
      </x:c>
      <x:c r="C4" s="12" t="str">
        <x:v>Incluye nombres dudosos o abreviados tal como aparecen.</x:v>
      </x:c>
      <x:c r="D4" s="12" t="str"/>
    </x:row>
    <x:row r="5">
      <x:c r="A5" s="12" t="str">
        <x:v>Con alguna evidencia externa directa/indirecta</x:v>
      </x:c>
      <x:c r="B5" s="12" t="n">
        <x:f>COUNTIF(Resultados!G2:G72,"*confirm*")+COUNTIF(Resultados!G2:G72,"*Documentado*")+COUNTIF(Resultados!G2:G72,"*contexto PARES*")</x:f>
        <x:v>0</x:v>
      </x:c>
      <x:c r="C5" s="12" t="str">
        <x:v>Santiago, Edelmira, Pelayo Antonio y contexto García-Infanzón.</x:v>
      </x:c>
      <x:c r="D5" s="12" t="str"/>
    </x:row>
    <x:row r="6">
      <x:c r="A6" s="12" t="str">
        <x:v>Con conflicto explícito en la captura</x:v>
      </x:c>
      <x:c r="B6" s="12" t="n">
        <x:f>COUNTIF(Resultados!G2:G72,"*conflicto*")</x:f>
        <x:v>0</x:v>
      </x:c>
      <x:c r="C6" s="12" t="str">
        <x:v>Fechas incompatibles o anotaciones alternativas.</x:v>
      </x:c>
      <x:c r="D6" s="12" t="str"/>
    </x:row>
    <x:row r="7">
      <x:c r="A7" s="12" t="str">
        <x:v>Pendientes de partida/archivo</x:v>
      </x:c>
      <x:c r="B7" s="12" t="n">
        <x:f>COUNTIF(Resultados!G2:G72,"*Solo captura*")</x:f>
        <x:v>0</x:v>
      </x:c>
      <x:c r="C7" s="12" t="str">
        <x:v>La mayoría de los siglos XVII–XIX no están indexados nominalmente en fuentes web abiertas.</x:v>
      </x:c>
      <x:c r="D7" s="12" t="str"/>
    </x:row>
    <x:row r="8">
      <x:c r="A8" s="12"/>
      <x:c r="B8" s="12"/>
      <x:c r="C8" s="12"/>
      <x:c r="D8" s="12"/>
    </x:row>
    <x:row r="9">
      <x:c r="A9" s="44" t="str">
        <x:v>Criterio</x:v>
      </x:c>
      <x:c r="B9" s="44" t="str">
        <x:v>Aplicación</x:v>
      </x:c>
      <x:c r="C9" s="44" t="str"/>
      <x:c r="D9" s="44" t="str"/>
    </x:row>
    <x:row r="10">
      <x:c r="A10" s="12" t="str">
        <x:v>Resultado</x:v>
      </x:c>
      <x:c r="B10" s="12" t="str">
        <x:v>Conserva el dato de la captura salvo que una fuente fiable lo contradiga.</x:v>
      </x:c>
      <x:c r="C10" s="12" t="str"/>
      <x:c r="D10" s="12" t="str"/>
    </x:row>
    <x:row r="11">
      <x:c r="A11" s="12" t="str">
        <x:v>Confirmación</x:v>
      </x:c>
      <x:c r="B11" s="12" t="str">
        <x:v>No se considera «confirmado» un dato por coincidir con un árbol de usuario o por homonimia.</x:v>
      </x:c>
      <x:c r="C11" s="12" t="str"/>
      <x:c r="D11" s="12" t="str"/>
    </x:row>
    <x:row r="12">
      <x:c r="A12" s="12" t="str">
        <x:v>Archivos</x:v>
      </x:c>
      <x:c r="B12" s="12" t="str">
        <x:v>Para siglos XVII–XIX la vía principal son libros parroquiales, protocolos y PARES; muchas partidas no están indexadas en Google.</x:v>
      </x:c>
      <x:c r="C12" s="12" t="str"/>
      <x:c r="D12" s="12" t="str"/>
    </x:row>
    <x:row r="14">
      <x:c r="A14" s="50" t="str">
        <x:v>Leyenda 2ª pasada</x:v>
      </x:c>
      <x:c r="B14" s="49" t="str">
        <x:v>Las celdas con fondo amarillo contienen información nueva o corregida frente a la primera versión.</x:v>
      </x:c>
      <x:c r="C14" s="49" t="str"/>
      <x:c r="D14" s="49" t="str"/>
    </x:row>
    <x:row r="15">
      <x:c r="A15" s="49" t="str">
        <x:v>Resultado</x:v>
      </x:c>
      <x:c r="B15" s="49" t="str">
        <x:v>Se añadieron 2 personas/candidatos y nueva documentación para Pelayo Antonio Méndez Trelles y Alonso García Infanzón.</x:v>
      </x:c>
      <x:c r="C15" s="49" t="str"/>
      <x:c r="D15" s="49" t="str"/>
    </x:row>
    <x:row r="17">
      <x:c r="A17" s="60" t="str">
        <x:v>3ª pasada – objetivo</x:v>
      </x:c>
      <x:c r="B17" s="60" t="str">
        <x:v>Buscar personas no incluidas en el Excel y hacer explícito el parentesco para poder enlazarlas.</x:v>
      </x:c>
      <x:c r="C17" s="60" t="str"/>
      <x:c r="D17" s="60" t="str"/>
    </x:row>
    <x:row r="18">
      <x:c r="A18" s="60" t="str">
        <x:v>Nuevas personas</x:v>
      </x:c>
      <x:c r="B18" s="60" t="str">
        <x:v>5 entradas nuevas: Juan García Infanzón (padre), Juan García Infanzón (hijo), Miguel García Infanzón y dos generaciones de Pelayo Antonio Méndez Trelles.</x:v>
      </x:c>
      <x:c r="C18" s="60" t="str"/>
      <x:c r="D18" s="60" t="str"/>
    </x:row>
    <x:row r="19">
      <x:c r="A19" s="60" t="str">
        <x:v>Clave</x:v>
      </x:c>
      <x:c r="B19" s="60" t="str">
        <x:v>Se añadieron columnas «Parentesco / enlaza con» y «Certeza del vínculo». Amarillo = nuevo respecto a la versión anterior.</x:v>
      </x:c>
      <x:c r="C19" s="60" t="str"/>
      <x:c r="D19" s="60" t="str"/>
    </x:row>
    <x:row r="21">
      <x:c r="A21" s="63" t="str">
        <x:v>4ª pasada – generaciones anteriores</x:v>
      </x:c>
      <x:c r="B21" s="63" t="str">
        <x:v>Se añadió una rama Trelles / Infanzón que retrocede hasta mediados del siglo XVI, con relaciones padre-madre-hijo explícitas.</x:v>
      </x:c>
      <x:c r="C21" s="63" t="str"/>
      <x:c r="D21" s="63" t="str"/>
    </x:row>
    <x:row r="22">
      <x:c r="A22" s="63" t="str">
        <x:v>Nuevas personas</x:v>
      </x:c>
      <x:c r="B22" s="63" t="str">
        <x:v>10 entradas nuevas (IDs 79–88), todas con campo de parentesco para enlazarlas.</x:v>
      </x:c>
      <x:c r="C22" s="63" t="str"/>
      <x:c r="D22" s="63" t="str"/>
    </x:row>
    <x:row r="23">
      <x:c r="A23" s="63" t="str">
        <x:v>Criterio</x:v>
      </x:c>
      <x:c r="B23" s="63" t="str">
        <x:v>ALTA = relación explícita en fuente académica/universitaria; MEDIA-ALTA = línea genealógica consistente, pero aún conviene contrastar la partida primaria.</x:v>
      </x:c>
      <x:c r="C23" s="63" t="str"/>
      <x:c r="D23" s="63" t="str"/>
    </x:row>
    <x:row r="25">
      <x:c r="A25" s="67" t="str">
        <x:v>5ª pasada – avance</x:v>
      </x:c>
      <x:c r="B25" s="67" t="str">
        <x:v>16 personas nuevas (IDs 89–104), con especial foco en antepasados directos de Suero González de Trelles y hermanos documentados.</x:v>
      </x:c>
      <x:c r="C25" s="67" t="str"/>
      <x:c r="D25" s="67" t="str"/>
    </x:row>
    <x:row r="26">
      <x:c r="A26" s="67" t="str">
        <x:v>Rama directa nueva</x:v>
      </x:c>
      <x:c r="B26" s="67" t="str">
        <x:v>Fernán/Fernando López de Trelles → Lope Méndez de Trelles + María García → Fernando Fernández de Trelles + Teresa Díaz → Suero González de Trelles.</x:v>
      </x:c>
      <x:c r="C26" s="67" t="str"/>
      <x:c r="D26" s="67" t="str"/>
    </x:row>
    <x:row r="27">
      <x:c r="A27" s="67" t="str">
        <x:v>Otra línea nueva</x:v>
      </x:c>
      <x:c r="B27" s="67" t="str">
        <x:v>Teresa Díaz de Trelles es hija de otro Suero González de Trelles, vecino de «el Río» en Pumarín.</x:v>
      </x:c>
      <x:c r="C27" s="67" t="str"/>
      <x:c r="D27" s="67" t="str"/>
    </x:row>
    <x:row r="28">
      <x:c r="A28" s="67" t="str">
        <x:v>Criterio</x:v>
      </x:c>
      <x:c r="B28" s="67" t="str">
        <x:v>Las formas onomásticas conflictivas (Lope Méndez/Lope Alfonso; Fernán/Fernando López) se conservan como variantes y no se fuerzan como certeza absoluta.</x:v>
      </x:c>
      <x:c r="C28" s="67" t="str"/>
      <x:c r="D28" s="67" t="str"/>
    </x:row>
    <x:row r="30">
      <x:c r="A30" s="70" t="str">
        <x:v>6ª pasada – avance</x:v>
      </x:c>
      <x:c r="B30" s="70" t="str">
        <x:v>7 personas nuevas (IDs 105–111) y 3 antepasados previos reforzados con apariciones concretas en padrones del siglo XVI.</x:v>
      </x:c>
      <x:c r="C30" s="70" t="str"/>
      <x:c r="D30" s="70" t="str"/>
    </x:row>
    <x:row r="31">
      <x:c r="A31" s="70" t="str">
        <x:v>Documento clave</x:v>
      </x:c>
      <x:c r="B31" s="70" t="str">
        <x:v>Padrón de 1524: Lope Méndez de Villar + Diego Rodríguez, su hermano; también aparece Suero González del Río.</x:v>
      </x:c>
      <x:c r="C31" s="70" t="str"/>
      <x:c r="D31" s="70" t="str"/>
    </x:row>
    <x:row r="32">
      <x:c r="A32" s="70" t="str">
        <x:v>Otra confirmación</x:v>
      </x:c>
      <x:c r="B32" s="70" t="str">
        <x:v>Padrón de 1542: Fernán López, hijodalgo del solar de Trelles; padrón de 1554: Fernando López de Trelles.</x:v>
      </x:c>
      <x:c r="C32" s="70" t="str"/>
      <x:c r="D32" s="70" t="str"/>
    </x:row>
    <x:row r="33">
      <x:c r="A33" s="70" t="str">
        <x:v>Familia de Fernando Fernández</x:v>
      </x:c>
      <x:c r="B33" s="70" t="str">
        <x:v>El padrón de 1584 identifica como hijos a Suero, Lope Méndez, Juan García, Domingo Pérez, Fernando Fernández y Marcos.</x:v>
      </x:c>
      <x:c r="C33" s="70" t="str"/>
      <x:c r="D33" s="70" t="str"/>
    </x:row>
    <x:row r="35">
      <x:c r="A35" s="73" t="str">
        <x:v>7ª pasada – hallazgo clave</x:v>
      </x:c>
      <x:c r="B35" s="73" t="str">
        <x:v>Aparece una contradicción real en la filiación de Fernando Fernández de Trelles: Benito Trelles (1666) dice Lope Méndez; Salazar y Castro D-45 dice Suero González.</x:v>
      </x:c>
      <x:c r="C35" s="73" t="str"/>
      <x:c r="D35" s="73" t="str"/>
    </x:row>
    <x:row r="36">
      <x:c r="A36" s="73" t="str">
        <x:v>Corrección</x:v>
      </x:c>
      <x:c r="B36" s="73" t="str">
        <x:v>La cadena Fernán López → Lope Méndez → Fernando Fernández queda como hipótesis, no como filiación cerrada.</x:v>
      </x:c>
      <x:c r="C36" s="73" t="str"/>
      <x:c r="D36" s="73" t="str"/>
    </x:row>
    <x:row r="37">
      <x:c r="A37" s="73" t="str">
        <x:v>Nueva alternativa</x:v>
      </x:c>
      <x:c r="B37" s="73" t="str">
        <x:v>Se añade un Suero González de Trelles, natural de Pumarín, como posible padre alternativo de Fernando Fernández.</x:v>
      </x:c>
      <x:c r="C37" s="73" t="str"/>
      <x:c r="D37" s="73" t="str"/>
    </x:row>
    <x:row r="38">
      <x:c r="A38" s="73" t="str">
        <x:v>Nuevas personas</x:v>
      </x:c>
      <x:c r="B38" s="73" t="str">
        <x:v>9 nuevas entradas (IDs 112–120), incluyendo hermanos de Catalina y la familia de García Morán de Trelles.</x:v>
      </x:c>
      <x:c r="C38" s="73" t="str"/>
      <x:c r="D38" s="73" t="str"/>
    </x:row>
    <x:row r="39">
      <x:c r="A39" s="73" t="str">
        <x:v>Método</x:v>
      </x:c>
      <x:c r="B39" s="73" t="str">
        <x:v>Cuando dos fuentes genealógicas antiguas se contradicen, se conservan ambas ramas candidatas hasta consultar los documentos originales.</x:v>
      </x:c>
      <x:c r="C39" s="73" t="str"/>
      <x:c r="D39" s="73" t="str"/>
    </x:row>
    <x:row r="41">
      <x:c r="A41" s="76" t="str">
        <x:v>8ª pasada – avance</x:v>
      </x:c>
      <x:c r="B41" s="76" t="str">
        <x:v>12 personas nuevas (IDs 121–132).</x:v>
      </x:c>
      <x:c r="C41" s="76" t="str"/>
      <x:c r="D41" s="76" t="str"/>
    </x:row>
    <x:row r="42">
      <x:c r="A42" s="76" t="str">
        <x:v>Primer padrón</x:v>
      </x:c>
      <x:c r="B42" s="76" t="str">
        <x:v>Se incorporan más miembros del solar presentes ya en 1524: Gómez Ares, García Gómez, Alonso hijo de Suero, García González de Pumarín y Pedro.</x:v>
      </x:c>
      <x:c r="C42" s="76" t="str"/>
      <x:c r="D42" s="76" t="str"/>
    </x:row>
    <x:row r="43">
      <x:c r="A43" s="76" t="str">
        <x:v>1554</x:v>
      </x:c>
      <x:c r="B43" s="76" t="str">
        <x:v>Se añade Fernando Fernández de Pumarín como candidato documental a estudiar junto con la línea de Fernando Fernández de Trelles.</x:v>
      </x:c>
      <x:c r="C43" s="76" t="str"/>
      <x:c r="D43" s="76" t="str"/>
    </x:row>
    <x:row r="44">
      <x:c r="A44" s="76" t="str">
        <x:v>Edad Media</x:v>
      </x:c>
      <x:c r="B44" s="76" t="str">
        <x:v>Se registran Diego García, Mendo Díaz, Garci Sánchez y Lope Díaz solo como tradición genealógica, con certeza MUY BAJA.</x:v>
      </x:c>
      <x:c r="C44" s="76" t="str"/>
      <x:c r="D44" s="76" t="str"/>
    </x:row>
    <x:row r="45">
      <x:c r="A45" s="76" t="str">
        <x:v>Límite documental</x:v>
      </x:c>
      <x:c r="B45" s="76" t="str">
        <x:v>Gonzalo Anes considera que las filiaciones anteriores a los padrones de 1524 no están demostradas de forma fehaciente.</x:v>
      </x:c>
      <x:c r="C45" s="76" t="str"/>
      <x:c r="D45" s="76" t="str"/>
    </x:row>
    <x:row r="46">
      <x:c r="A46" s="76" t="str">
        <x:v>Corrección metodológica</x:v>
      </x:c>
      <x:c r="B46" s="76" t="str">
        <x:v>Las tradiciones antiguas se conservan para orientar búsquedas, pero no se enlazan como antepasados confirmados.</x:v>
      </x:c>
      <x:c r="C46" s="76" t="str"/>
      <x:c r="D46" s="76" t="str"/>
    </x:row>
    <x:row r="48">
      <x:c r="A48" s="79" t="str">
        <x:v>9ª pasada – avance</x:v>
      </x:c>
      <x:c r="B48" s="79" t="str">
        <x:v>7 nuevas entradas (IDs 133–139) y dos correcciones/precisiones de filiación.</x:v>
      </x:c>
      <x:c r="C48" s="79" t="str"/>
      <x:c r="D48" s="79" t="str"/>
    </x:row>
    <x:row r="49">
      <x:c r="A49" s="79" t="str">
        <x:v>Rama más antigua añadida</x:v>
      </x:c>
      <x:c r="B49" s="79" t="str">
        <x:v>Rodrigo Díaz de Trelles + Ana Valledor → Teresa Trelles del Río y Valledor, pero con certeza BAJA-MEDIA por ser tradición anterior a 1524.</x:v>
      </x:c>
      <x:c r="C49" s="79" t="str"/>
      <x:c r="D49" s="79" t="str"/>
    </x:row>
    <x:row r="50">
      <x:c r="A50" s="79" t="str">
        <x:v>Rama Luera/Trelles</x:v>
      </x:c>
      <x:c r="B50" s="79" t="str">
        <x:v>Se completa la madre de Dominga: Teresa García de Luera y Trelles, alias Teresa Castrillón Valledor; además se añaden sus hermanos Francisco, Ana y María.</x:v>
      </x:c>
      <x:c r="C50" s="79" t="str"/>
      <x:c r="D50" s="79" t="str"/>
    </x:row>
    <x:row r="51">
      <x:c r="A51" s="79" t="str">
        <x:v>PARES</x:v>
      </x:c>
      <x:c r="B51" s="79" t="str">
        <x:v>Aparece otra pareja Infanzón: Lucas Fernández Infanzón + María Alonso de la Vega, segundos abuelos de José García Infanzón y Hebia en un pleito de 1752–1754.</x:v>
      </x:c>
      <x:c r="C51" s="79" t="str"/>
      <x:c r="D51" s="79" t="str"/>
    </x:row>
    <x:row r="52">
      <x:c r="A52" s="79" t="str">
        <x:v>Conflicto Fernando Fernández</x:v>
      </x:c>
      <x:c r="B52" s="79" t="str">
        <x:v>Se mantiene abierto: una dote original vista por Gonzalo Anes apunta a Lope Méndez; Salazar y Castro D-45 apunta a un Suero González.</x:v>
      </x:c>
      <x:c r="C52" s="79" t="str"/>
      <x:c r="D52" s="79" t="str"/>
    </x:row>
    <x:row r="53">
      <x:c r="A53" s="79" t="str">
        <x:v>Regla</x:v>
      </x:c>
      <x:c r="B53" s="79" t="str">
        <x:v>No se fusionan homónimos ni variantes de esposa mientras la documentación primaria no permita cerrarlo.</x:v>
      </x:c>
      <x:c r="C53" s="79" t="str"/>
      <x:c r="D53" s="79" t="str"/>
    </x:row>
    <x:row r="55">
      <x:c r="A55" s="82" t="str">
        <x:v>10ª pasada – avance</x:v>
      </x:c>
      <x:c r="B55" s="82" t="str">
        <x:v>8 nuevas entradas (IDs 140–147) y corrección importante de la filiación de Fernando Fernández de Trelles.</x:v>
      </x:c>
      <x:c r="C55" s="82" t="str"/>
      <x:c r="D55" s="82" t="str"/>
    </x:row>
    <x:row r="56">
      <x:c r="A56" s="82" t="str">
        <x:v>Conflicto nuevo bien delimitado</x:v>
      </x:c>
      <x:c r="B56" s="82" t="str">
        <x:v>1636: Lope Alfonso de Pumarín + María García. Dote original vista por Anes: Lope Méndez «el de Villar» + María García.</x:v>
      </x:c>
      <x:c r="C56" s="82" t="str"/>
      <x:c r="D56" s="82" t="str"/>
    </x:row>
    <x:row r="57">
      <x:c r="A57" s="82" t="str">
        <x:v>Conclusión prudente</x:v>
      </x:c>
      <x:c r="B57" s="82" t="str">
        <x:v>María García de Trelles queda muy reforzada como madre; el nombre exacto del padre de Fernando sigue abierto.</x:v>
      </x:c>
      <x:c r="C57" s="82" t="str"/>
      <x:c r="D57" s="82" t="str"/>
    </x:row>
    <x:row r="58">
      <x:c r="A58" s="82" t="str">
        <x:v>Nueva rama Méndez</x:v>
      </x:c>
      <x:c r="B58" s="82" t="str">
        <x:v>Diego Méndez de la Calzada (1640–1711) → padre Lope Méndez de la Murola → abuelos Diego Méndez de Pumarín + Dominga Pérez de la Calzada.</x:v>
      </x:c>
      <x:c r="C58" s="82" t="str"/>
      <x:c r="D58" s="82" t="str"/>
    </x:row>
    <x:row r="59">
      <x:c r="A59" s="82" t="str">
        <x:v>Datos sacramentales</x:v>
      </x:c>
      <x:c r="B59" s="82" t="str">
        <x:v>María Álvarez Morán de Trelles: bautismo 12/05/1651 y muerte 27/01/1709 en Villacondide.</x:v>
      </x:c>
      <x:c r="C59" s="82" t="str"/>
      <x:c r="D59" s="82" t="str"/>
    </x:row>
    <x:row r="60">
      <x:c r="A60" s="82" t="str">
        <x:v>Método</x:v>
      </x:c>
      <x:c r="B60" s="82" t="str">
        <x:v>Se priorizan ahora testimonios de 1636, escrituras de dote y partidas parroquiales sobre genealogías compiladas posteriores.</x:v>
      </x:c>
      <x:c r="C60" s="82" t="str"/>
      <x:c r="D60" s="82" t="str"/>
    </x:row>
    <x:row r="62">
      <x:c r="A62" s="85" t="str">
        <x:v>11ª pasada – avance</x:v>
      </x:c>
      <x:c r="B62" s="85" t="str">
        <x:v>19 personas nuevas (IDs 148–166) y 2 registros existentes enriquecidos con defunción/entierro.</x:v>
      </x:c>
      <x:c r="C62" s="85" t="str"/>
      <x:c r="D62" s="85" t="str"/>
    </x:row>
    <x:row r="63">
      <x:c r="A63" s="85" t="str">
        <x:v>García Morán</x:v>
      </x:c>
      <x:c r="B63" s="85" t="str">
        <x:v>Defunción confirmada 24/04/1680 en Villacondide; sepultado en la capilla mayor.</x:v>
      </x:c>
      <x:c r="C63" s="85" t="str"/>
      <x:c r="D63" s="85" t="str"/>
    </x:row>
    <x:row r="64">
      <x:c r="A64" s="85" t="str">
        <x:v>Alonso Morán</x:v>
      </x:c>
      <x:c r="B64" s="85" t="str">
        <x:v>Bautizado 25/02/1636; fallecido 29/11/1697. Esposa: Lucía López de Aguiar, fallecida 24/08/1700.</x:v>
      </x:c>
      <x:c r="C64" s="85" t="str"/>
      <x:c r="D64" s="85" t="str"/>
    </x:row>
    <x:row r="65">
      <x:c r="A65" s="85" t="str">
        <x:v>Hijos García Morán + Dominga</x:v>
      </x:c>
      <x:c r="B65" s="85" t="str">
        <x:v>Se incorporan Antonio 1641, Francisco 1642, Francisco 1644, Antonia 1646, Suero 1657, Gonzalo 1663 y Catalina.</x:v>
      </x:c>
      <x:c r="C65" s="85" t="str"/>
      <x:c r="D65" s="85" t="str"/>
    </x:row>
    <x:row r="66">
      <x:c r="A66" s="85" t="str">
        <x:v>Nietos Alonso + Lucía</x:v>
      </x:c>
      <x:c r="B66" s="85" t="str">
        <x:v>Se incorporan 8 hijos con bautismos entre 1659 y 1680, incluida Lucía-Ana (1680–1758).</x:v>
      </x:c>
      <x:c r="C66" s="85" t="str"/>
      <x:c r="D66" s="85" t="str"/>
    </x:row>
    <x:row r="67">
      <x:c r="A67" s="85" t="str">
        <x:v>Calidad</x:v>
      </x:c>
      <x:c r="B67" s="85" t="str">
        <x:v>Esta pasada se basa casi enteramente en transcripciones de libros parroquiales y padrones concretos, con folios citados por Gonzalo Anes.</x:v>
      </x:c>
      <x:c r="C67" s="85" t="str"/>
      <x:c r="D67" s="85" t="str"/>
    </x:row>
    <x:row r="69">
      <x:c r="A69" s="94" t="str">
        <x:v>12ª pasada – auditoría de enlaces</x:v>
      </x:c>
      <x:c r="B69" s="94" t="str">
        <x:v>No hay ninguna referencia a un ID inexistente. Todos los añadidos tienen campo de parentesco.</x:v>
      </x:c>
      <x:c r="C69" s="94" t="str"/>
      <x:c r="D69" s="94" t="str"/>
    </x:row>
    <x:row r="70">
      <x:c r="A70" s="94" t="str">
        <x:v>Importante</x:v>
      </x:c>
      <x:c r="B70" s="94" t="str">
        <x:v>Sí había 12 candidatos que estaban «colgando» del árbol principal: existen como personas/ramas, pero no sabemos todavía dónde conectan. Se han separado conceptualmente como CANDIDATO NO ENLAZADO.</x:v>
      </x:c>
      <x:c r="C70" s="94" t="str"/>
      <x:c r="D70" s="94" t="str"/>
    </x:row>
    <x:row r="71">
      <x:c r="A71" s="94" t="str">
        <x:v>Nueva hoja</x:v>
      </x:c>
      <x:c r="B71" s="94" t="str">
        <x:v>«Control enlaces» lista exactamente qué IDs están enlazados, cuáles son hipótesis y cuáles todavía no deben dibujarse en el árbol principal.</x:v>
      </x:c>
      <x:c r="C71" s="94" t="str"/>
      <x:c r="D71" s="94" t="str"/>
    </x:row>
    <x:row r="72">
      <x:c r="A72" s="94" t="str">
        <x:v>Nueva rama directa</x:v>
      </x:c>
      <x:c r="B72" s="94" t="str">
        <x:v>Lope Suárez de Meiro/Trelles (ID87) ← Alonso González Coaña (167) + Catalina Suárez Trelles (168); Alonso ← Álvaro González (170) ← Gonzalo Pérez Pico de Coaña (171).</x:v>
      </x:c>
      <x:c r="C72" s="94" t="str"/>
      <x:c r="D72" s="94" t="str"/>
    </x:row>
    <x:row r="73">
      <x:c r="A73" s="94" t="str">
        <x:v>Nuevos hermanos</x:v>
      </x:c>
      <x:c r="B73" s="94" t="str">
        <x:v>Fernando González (172) y Juan García (173) se añaden como hijos documentados de Suero González (79) y María Alonso Infanzón (80).</x:v>
      </x:c>
      <x:c r="C73" s="94" t="str"/>
      <x:c r="D73" s="94" t="str"/>
    </x:row>
    <x:row r="74">
      <x:c r="A74" s="94" t="str">
        <x:v>Criterio</x:v>
      </x:c>
      <x:c r="B74" s="94" t="str">
        <x:v>El árbol principal queda limpio si se filtra «Estado de enlace» ≠ CANDIDATO NO ENLAZADO.</x:v>
      </x:c>
      <x:c r="C74" s="94" t="str"/>
      <x:c r="D74" s="94" t="str"/>
    </x:row>
    <x:row r="76">
      <x:c r="A76" s="102" t="str">
        <x:v>13ª pasada – conexiones pendientes</x:v>
      </x:c>
      <x:c r="B76" s="102" t="str">
        <x:v>Se han podido sacar de «colgando» 4 personas de la cadena medieval: IDs 129–132 pasan a ENLAZADO CON HIPÓTESIS.</x:v>
      </x:c>
      <x:c r="C76" s="102" t="str"/>
      <x:c r="D76" s="102" t="str"/>
    </x:row>
    <x:row r="77">
      <x:c r="A77" s="102" t="str">
        <x:v>Cómo enlazan</x:v>
      </x:c>
      <x:c r="B77" s="102" t="str">
        <x:v>La genealogía histórica dice que Teresa Díaz/Trelles del Río (ID 90) era 3ª nieta de Lope Díaz, 4ª de Garci Sánchez, 5ª de Mendo Díaz y 6ª de Diego García.</x:v>
      </x:c>
      <x:c r="C77" s="102" t="str"/>
      <x:c r="D77" s="102" t="str"/>
    </x:row>
    <x:row r="78">
      <x:c r="A78" s="102" t="str">
        <x:v>Pendientes reales</x:v>
      </x:c>
      <x:c r="B78" s="102" t="str">
        <x:v>Quedan 8 candidatos sin conexión al árbol principal: 72, 121, 122, 123, 124, 125, 126 y 127.</x:v>
      </x:c>
      <x:c r="C78" s="102" t="str"/>
      <x:c r="D78" s="102" t="str"/>
    </x:row>
    <x:row r="79">
      <x:c r="A79" s="102" t="str">
        <x:v>Diego Antonio Sánchez de Ron</x:v>
      </x:c>
      <x:c r="B79" s="102" t="str">
        <x:v>Se confirma de nuevo 20/10/1763 Meiro + esposa Rosa María González Fernández, pero la fuente abierta no aporta los padres; no se fuerza un enlace.</x:v>
      </x:c>
      <x:c r="C79" s="102" t="str"/>
      <x:c r="D79" s="102" t="str"/>
    </x:row>
    <x:row r="80">
      <x:c r="A80" s="102" t="str">
        <x:v>Siguiente cuello de botella</x:v>
      </x:c>
      <x:c r="B80" s="102" t="str">
        <x:v>Los siete candidatos del siglo XVI requieren protocolos/testamentos o los asientos originales de los padrones; el padrón transcrito solo da estatus y, en algunos casos, hermanos/padre inmediato.</x:v>
      </x:c>
      <x:c r="C80" s="102" t="str"/>
      <x:c r="D80" s="102" t="str"/>
    </x:row>
    <x:row r="82">
      <x:c r="A82" s="106" t="str">
        <x:v>14ª pasada – conexiones</x:v>
      </x:c>
      <x:c r="B82" s="106" t="str">
        <x:v>3 candidatos más pasan de «no enlazado» a «enlazado con hipótesis»: IDs 123, 124 y 127.</x:v>
      </x:c>
      <x:c r="C82" s="106" t="str"/>
      <x:c r="D82" s="106" t="str"/>
    </x:row>
    <x:row r="83">
      <x:c r="A83" s="106" t="str">
        <x:v>Alonso + Suero (1524)</x:v>
      </x:c>
      <x:c r="B83" s="106" t="str">
        <x:v>Alonso es hijo seguro de un Suero González; ese Suero podría ser el Suero tradicional inmediatamente posterior a Lope Díaz, pero no está probado.</x:v>
      </x:c>
      <x:c r="C83" s="106" t="str"/>
      <x:c r="D83" s="106" t="str"/>
    </x:row>
    <x:row r="84">
      <x:c r="A84" s="106" t="str">
        <x:v>Juan Alonso de Trelles</x:v>
      </x:c>
      <x:c r="B84" s="106" t="str">
        <x:v>Su condición de los solares de Luera/Riego/Tineo lo sitúa probablemente en la rama Luera que llega a Teresa García de Luera (ID135).</x:v>
      </x:c>
      <x:c r="C84" s="106" t="str"/>
      <x:c r="D84" s="106" t="str"/>
    </x:row>
    <x:row r="85">
      <x:c r="A85" s="106" t="str">
        <x:v>Gómez Ares</x:v>
      </x:c>
      <x:c r="B85" s="106" t="str">
        <x:v>Se refuerza como clérigo documentado, pero sigue sin filiación conocida.</x:v>
      </x:c>
      <x:c r="C85" s="106" t="str"/>
      <x:c r="D85" s="106" t="str"/>
    </x:row>
    <x:row r="86">
      <x:c r="A86" s="106" t="str">
        <x:v>Pendientes reales</x:v>
      </x:c>
      <x:c r="B86" s="106" t="str">
        <x:v>Quedan solo 5 candidatos sin conexión concreta: IDs 72, 121, 122, 125 y 126.</x:v>
      </x:c>
      <x:c r="C86" s="106" t="str"/>
      <x:c r="D86" s="106" t="str"/>
    </x:row>
    <x:row r="87">
      <x:c r="A87" s="106" t="str">
        <x:v>Límite</x:v>
      </x:c>
      <x:c r="B87" s="106" t="str">
        <x:v>Para los cuatro del siglo XVI que quedan, los índices web ya no aportan parentescos; hacen falta protocolos, expedientes eclesiásticos o el asiento original completo.</x:v>
      </x:c>
      <x:c r="C87" s="106" t="str"/>
      <x:c r="D87" s="106" t="str"/>
    </x:row>
    <x:row r="89">
      <x:c r="A89" s="110" t="str">
        <x:v>15ª pasada – resultado</x:v>
      </x:c>
      <x:c r="B89" s="110" t="str">
        <x:v>No he podido cerrar ninguno de los cinco pendientes anteriores con una filiación nueva suficientemente sólida.</x:v>
      </x:c>
      <x:c r="C89" s="110" t="str"/>
      <x:c r="D89" s="110" t="str"/>
    </x:row>
    <x:row r="90">
      <x:c r="A90" s="110" t="str">
        <x:v>Corrección importante</x:v>
      </x:c>
      <x:c r="B90" s="110" t="str">
        <x:v>El hijo de Suero del padrón de 1524 aparece como ÁLVARO en una transcripción y ALONSO en otra del mismo autor. El Excel ya conserva ambas lecturas.</x:v>
      </x:c>
      <x:c r="C90" s="110" t="str"/>
      <x:c r="D90" s="110" t="str"/>
    </x:row>
    <x:row r="91">
      <x:c r="A91" s="110" t="str">
        <x:v>Homonimia nueva</x:v>
      </x:c>
      <x:c r="B91" s="110" t="str">
        <x:v>El padrón de 1572 demuestra que había dos Gómez Ares distintos: un Gómez Ares seglar y «el clérigo Gómez Ares». Se añade el seglar como ID174.</x:v>
      </x:c>
      <x:c r="C91" s="110" t="str"/>
      <x:c r="D91" s="110" t="str"/>
    </x:row>
    <x:row r="92">
      <x:c r="A92" s="110" t="str">
        <x:v>García Gómez</x:v>
      </x:c>
      <x:c r="B92" s="110" t="str">
        <x:v>Sigue apareciendo de 1524 a 1572, pero no hay filiación publicada; la continuidad podría esconder homónimos.</x:v>
      </x:c>
      <x:c r="C92" s="110" t="str"/>
      <x:c r="D92" s="110" t="str"/>
    </x:row>
    <x:row r="93">
      <x:c r="A93" s="110" t="str">
        <x:v>Pumarín</x:v>
      </x:c>
      <x:c r="B93" s="110" t="str">
        <x:v>García González y Pedro siguen seguros como hermanos, pero sin padres conocidos en las fuentes abiertas.</x:v>
      </x:c>
      <x:c r="C93" s="110" t="str"/>
      <x:c r="D93" s="110" t="str"/>
    </x:row>
    <x:row r="94">
      <x:c r="A94" s="110" t="str">
        <x:v>Pendientes</x:v>
      </x:c>
      <x:c r="B94" s="110" t="str">
        <x:v>Ahora hay 6 entradas sin enlace porque se ha separado correctamente el segundo Gómez Ares. Es preferible aumentar un pendiente real antes que fusionar dos personas distintas.</x:v>
      </x:c>
      <x:c r="C94" s="110" t="str"/>
      <x:c r="D94" s="110" t="str"/>
    </x:row>
    <x:row r="95">
      <x:c r="A95" s="110" t="str">
        <x:v>Cuello de botella</x:v>
      </x:c>
      <x:c r="B95" s="110" t="str">
        <x:v>El siguiente avance exige ya documentos primarios: padrones originales, protocolos notariales o partidas parroquiales, no más índices web.</x:v>
      </x:c>
      <x:c r="C95" s="110" t="str"/>
      <x:c r="D95" s="110" t="str"/>
    </x:row>
    <x:row r="97">
      <x:c r="A97" s="121" t="str">
        <x:v>16ª pasada – búsqueda de cierre</x:v>
      </x:c>
      <x:c r="B97" s="121" t="str">
        <x:v>Se revisaron de forma específica los 6 pendientes en fuentes académicas, PARES indexado, genealogías históricas y foros especializados.</x:v>
      </x:c>
      <x:c r="C97" s="121" t="str"/>
      <x:c r="D97" s="121" t="str"/>
    </x:row>
    <x:row r="98">
      <x:c r="A98" s="121" t="str">
        <x:v>Resultado</x:v>
      </x:c>
      <x:c r="B98" s="121" t="str">
        <x:v>No aparece ninguna filiación nueva suficientemente sólida para mover un candidato a ENLAZADO o ENLAZADO CON HIPÓTESIS.</x:v>
      </x:c>
      <x:c r="C98" s="121" t="str"/>
      <x:c r="D98" s="121" t="str"/>
    </x:row>
    <x:row r="99">
      <x:c r="A99" s="121" t="str">
        <x:v>Pendientes</x:v>
      </x:c>
      <x:c r="B99" s="121" t="str">
        <x:v>Siguen siendo IDs 72, 121, 122, 125, 126 y 174.</x:v>
      </x:c>
      <x:c r="C99" s="121" t="str"/>
      <x:c r="D99" s="121" t="str"/>
    </x:row>
    <x:row r="100">
      <x:c r="A100" s="121" t="str">
        <x:v>Hallazgo útil</x:v>
      </x:c>
      <x:c r="B100" s="121" t="str">
        <x:v>Se confirma que la literatura publicada no contiene más parentesco para García Gómez, Gómez Ares ni los hermanos García González/Pedro de Pumarín que el ya registrado.</x:v>
      </x:c>
      <x:c r="C100" s="121" t="str"/>
      <x:c r="D100" s="121" t="str"/>
    </x:row>
    <x:row r="101">
      <x:c r="A101" s="121" t="str">
        <x:v>Diego Antonio Sánchez de Ron</x:v>
      </x:c>
      <x:c r="B101" s="121" t="str">
        <x:v>Las búsquedas por nombre, esposa, Meiro y 1763 no ofrecen padres fuera del árbol colaborativo conocido.</x:v>
      </x:c>
      <x:c r="C101" s="121" t="str"/>
      <x:c r="D101" s="121" t="str"/>
    </x:row>
    <x:row r="102">
      <x:c r="A102" s="121" t="str">
        <x:v>Próximo nivel documental</x:v>
      </x:c>
      <x:c r="B102" s="121" t="str">
        <x:v>Para avanzar hay que obtener imágenes/transcripciones de padrones originales, protocolos notariales, expedientes eclesiásticos o partidas parroquiales. Seguir buscando solo en índices web tiene rendimiento muy bajo.</x:v>
      </x:c>
      <x:c r="C102" s="121" t="str"/>
      <x:c r="D102" s="121" t="str"/>
    </x:row>
    <x:row r="104">
      <x:c r="A104" s="133" t="str">
        <x:v>17ª pasada – auditoría de lugares</x:v>
      </x:c>
      <x:c r="B104" s="133" t="str">
        <x:v>Se han revisado 166 personas una a una en el Excel y se ha creado la hoja «Auditoría lugares».</x:v>
      </x:c>
      <x:c r="C104" s="133" t="str"/>
      <x:c r="D104" s="133" t="str"/>
    </x:row>
    <x:row r="105">
      <x:c r="A105" s="133" t="str">
        <x:v>Lugar de nacimiento</x:v>
      </x:c>
      <x:c r="B105" s="133" t="str">
        <x:v>115 personas tienen lugar de nacimiento/origen consignado; 51 siguen sin un lugar fiable.</x:v>
      </x:c>
      <x:c r="C105" s="133" t="str"/>
      <x:c r="D105" s="133" t="str"/>
    </x:row>
    <x:row r="106">
      <x:c r="A106" s="133" t="str">
        <x:v>Lugar de defunción</x:v>
      </x:c>
      <x:c r="B106" s="133" t="str">
        <x:v>11 personas tienen lugar de defunción consignado; 155 siguen sin un lugar fiable.</x:v>
      </x:c>
      <x:c r="C106" s="133" t="str"/>
      <x:c r="D106" s="133" t="str"/>
    </x:row>
    <x:row r="107">
      <x:c r="A107" s="133" t="str">
        <x:v>Nuevo confirmado</x:v>
      </x:c>
      <x:c r="B107" s="133" t="str">
        <x:v>Benito de Trelles (ID86): defunción en Madrid. Lope Suárez de Trelles y Villamil (ID87): natural de Serandinas (Boal).</x:v>
      </x:c>
      <x:c r="C107" s="133" t="str"/>
      <x:c r="D107" s="133" t="str"/>
    </x:row>
    <x:row r="108">
      <x:c r="A108" s="133" t="str">
        <x:v>Sepultura ≠ defunción</x:v>
      </x:c>
      <x:c r="B108" s="133" t="str">
        <x:v>Para Suero González, María Alfonso Infanzón, Lope Suárez y Leonor Alfonso hay lugares de sepultura conocidos, pero no se han convertido en lugar de muerte sin prueba.</x:v>
      </x:c>
      <x:c r="C108" s="133" t="str"/>
      <x:c r="D108" s="133" t="str"/>
    </x:row>
    <x:row r="109">
      <x:c r="A109" s="133" t="str">
        <x:v>Personas modernas</x:v>
      </x:c>
      <x:c r="B109" s="133" t="str">
        <x:v>En posibles personas vivas o identificaciones demasiado genéricas no se ha hecho investigación invasiva; quedan marcadas específicamente en la auditoría.</x:v>
      </x:c>
      <x:c r="C109" s="133" t="str"/>
      <x:c r="D109" s="133" t="str"/>
    </x:row>
    <x:row r="110">
      <x:c r="A110" s="133" t="str">
        <x:v>Regla</x:v>
      </x:c>
      <x:c r="B110" s="133" t="str">
        <x:v>No se ha rellenado ningún lugar por simple residencia, apellido, parroquia familiar o lugar de entierro.</x:v>
      </x:c>
      <x:c r="C110" s="133" t="str"/>
      <x:c r="D110" s="133" t="str"/>
    </x:row>
    <x:row r="112">
      <x:c r="A112" s="136" t="str">
        <x:v>18ª pasada – lugares de defunción</x:v>
      </x:c>
      <x:c r="B112" s="136" t="str">
        <x:v>Se ha revisado la diferencia entre muerte, entierro y parroquia de registro.</x:v>
      </x:c>
      <x:c r="C112" s="136" t="str"/>
      <x:c r="D112" s="136" t="str"/>
    </x:row>
    <x:row r="113">
      <x:c r="A113" s="136" t="str">
        <x:v>Confirmados explícitamente</x:v>
      </x:c>
      <x:c r="B113" s="136" t="str">
        <x:v>Benito de Trelles: Madrid. Diego Méndez de la Murola: Villacondide. Lucía López de Aguiar: Villacondide.</x:v>
      </x:c>
      <x:c r="C113" s="136" t="str"/>
      <x:c r="D113" s="136" t="str"/>
    </x:row>
    <x:row r="114">
      <x:c r="A114" s="136" t="str">
        <x:v>Correcciones</x:v>
      </x:c>
      <x:c r="B114" s="136" t="str">
        <x:v>Se han retirado como lugares definitivos los de García Morán, Alonso Morán, María López/Álvarez de Trelles, María Álvarez Morán y Lucía-Ana cuando la fuente solo prueba registro/entierro.</x:v>
      </x:c>
      <x:c r="C114" s="136" t="str"/>
      <x:c r="D114" s="136" t="str"/>
    </x:row>
    <x:row r="115">
      <x:c r="A115" s="136" t="str">
        <x:v>Motivo</x:v>
      </x:c>
      <x:c r="B115" s="136" t="str">
        <x:v>Que una persona figure en el libro de difuntos de una parroquia o sea enterrada allí no demuestra por sí solo que muriera físicamente en ese lugar.</x:v>
      </x:c>
      <x:c r="C115" s="136" t="str"/>
      <x:c r="D115" s="136" t="str"/>
    </x:row>
    <x:row r="116">
      <x:c r="A116" s="136" t="str">
        <x:v>Búsquedas modernas</x:v>
      </x:c>
      <x:c r="B116" s="136" t="str">
        <x:v>Las búsquedas exactas para Nicolás Martínez Ruiz, Ramiro Pérez González, Caridad Sánchez González y varias ramas Sánchez de Ron/Navia no devolvieron coincidencias suficientemente seguras.</x:v>
      </x:c>
      <x:c r="C116" s="136" t="str"/>
      <x:c r="D116" s="136" t="str"/>
    </x:row>
    <x:row r="117">
      <x:c r="A117" s="136" t="str">
        <x:v>Calidad</x:v>
      </x:c>
      <x:c r="B117" s="136" t="str">
        <x:v>El Excel queda algo más conservador, pero los lugares de defunción que permanecen son más fiables.</x:v>
      </x:c>
      <x:c r="C117" s="136" t="str"/>
      <x:c r="D117" s="136" t="str"/>
    </x:row>
    <x:row r="119">
      <x:c r="A119" s="139" t="str">
        <x:v>19ª pasada – lugares</x:v>
      </x:c>
      <x:c r="B119" s="139" t="str">
        <x:v>Se han mejorado lugares de nacimiento/origen en la rama Trelles usando expresiones explícitas «natural de» / «nacida en».</x:v>
      </x:c>
      <x:c r="C119" s="139" t="str"/>
      <x:c r="D119" s="139" t="str"/>
    </x:row>
    <x:row r="120">
      <x:c r="A120" s="139" t="str">
        <x:v>Corrección Lope</x:v>
      </x:c>
      <x:c r="B120" s="139" t="str">
        <x:v>Lope Suárez de Trelles Coaña y Villamil (ID85): natural de Serandinas. Villacondide era el lugar de bautismo, no el nacimiento.</x:v>
      </x:c>
      <x:c r="C120" s="139" t="str"/>
      <x:c r="D120" s="139" t="str"/>
    </x:row>
    <x:row r="121">
      <x:c r="A121" s="139" t="str">
        <x:v>Confirmaciones</x:v>
      </x:c>
      <x:c r="B121" s="139" t="str">
        <x:v>Suero González (79): Pumarín; María Alfonso Infanzón (80): Coaña; Catalina Suárez (83): Pumarín.</x:v>
      </x:c>
      <x:c r="C121" s="139" t="str"/>
      <x:c r="D121" s="139" t="str"/>
    </x:row>
    <x:row r="122">
      <x:c r="A122" s="139" t="str">
        <x:v>Fernando + Teresa</x:v>
      </x:c>
      <x:c r="B122" s="139" t="str">
        <x:v>IDs 89–90: Pumarín según Salazar y Castro; se conserva el conflicto con «Callinas [sic.]» de otra declaración.</x:v>
      </x:c>
      <x:c r="C122" s="139" t="str"/>
      <x:c r="D122" s="139" t="str"/>
    </x:row>
    <x:row r="123">
      <x:c r="A123" s="139" t="str">
        <x:v>Defunción</x:v>
      </x:c>
      <x:c r="B123" s="139" t="str">
        <x:v>María Álvarez Morán de Trelles (ID142): Villacondide confirmado expresamente en la tabla genealógica del estudio.</x:v>
      </x:c>
      <x:c r="C123" s="139" t="str"/>
      <x:c r="D123" s="139" t="str"/>
    </x:row>
    <x:row r="124">
      <x:c r="A124" s="139" t="str">
        <x:v>Cautela</x:v>
      </x:c>
      <x:c r="B124" s="139" t="str">
        <x:v>Boal para Gonzalo Méndez (ID84) queda solo como pista de FamilySearch y no se promueve a dato confirmado.</x:v>
      </x:c>
      <x:c r="C124" s="139" t="str"/>
      <x:c r="D124" s="139" t="str"/>
    </x:row>
    <x:row r="126">
      <x:c r="A126" s="141" t="str">
        <x:v>20ª pasada – avance</x:v>
      </x:c>
      <x:c r="B126" s="141" t="str">
        <x:v>Se ha encontrado una posible conexión para Gómez Ares de Trelles (ID121), uno de los pendientes.</x:v>
      </x:c>
      <x:c r="C126" s="141" t="str"/>
      <x:c r="D126" s="141" t="str"/>
    </x:row>
    <x:row r="127">
      <x:c r="A127" s="141" t="str">
        <x:v>Gómez Ares</x:v>
      </x:c>
      <x:c r="B127" s="141" t="str">
        <x:v>Trelles Villademoros llama «Gómez Arias de Trelles» al padre de Catalina Suárez (ID168). Por nombre, solar y cronología, ID121 es candidato plausible.</x:v>
      </x:c>
      <x:c r="C127" s="141" t="str"/>
      <x:c r="D127" s="141" t="str"/>
    </x:row>
    <x:row r="128">
      <x:c r="A128" s="141" t="str">
        <x:v>Conflicto</x:v>
      </x:c>
      <x:c r="B128" s="141" t="str">
        <x:v>El testamento reproducido por Gonzalo Anes dice simplemente «Arias de Trelles». ID169 pasa a registrar ambas formas: Arias / Gómez Arias.</x:v>
      </x:c>
      <x:c r="C128" s="141" t="str"/>
      <x:c r="D128" s="141" t="str"/>
    </x:row>
    <x:row r="129">
      <x:c r="A129" s="141" t="str">
        <x:v>Pendientes</x:v>
      </x:c>
      <x:c r="B129" s="141" t="str">
        <x:v>Los candidatos totalmente no enlazados bajan de 6 a 5: 72, 122, 125, 126 y 174.</x:v>
      </x:c>
      <x:c r="C129" s="141" t="str"/>
      <x:c r="D129" s="141" t="str"/>
    </x:row>
    <x:row r="130">
      <x:c r="A130" s="141" t="str">
        <x:v>Lantoira</x:v>
      </x:c>
      <x:c r="B130" s="141" t="str">
        <x:v>Se precisa el origen de Leonor Alfonso en la Casa de Lantoira, San Juan de Moldes (Castropol), pero no se fuerza como lugar de nacimiento.</x:v>
      </x:c>
      <x:c r="C130" s="141" t="str"/>
      <x:c r="D130" s="141" t="str"/>
    </x:row>
    <x:row r="131">
      <x:c r="A131" s="141" t="str">
        <x:v>Lugares</x:v>
      </x:c>
      <x:c r="B131" s="141" t="str">
        <x:v>No se han rellenado nuevos lugares por mera residencia o posesión señorial; la auditoría mantiene el criterio estricto.</x:v>
      </x:c>
      <x:c r="C131" s="141" t="str"/>
      <x:c r="D131" s="141" t="str"/>
    </x:row>
    <x:row r="133">
      <x:c r="A133" s="146" t="str">
        <x:v>21ª pasada – lugares</x:v>
      </x:c>
      <x:c r="B133" s="146" t="str">
        <x:v>Tres naturalidades antiguas quedan mejor fijadas por declaración de 1666.</x:v>
      </x:c>
      <x:c r="C133" s="146" t="str"/>
      <x:c r="D133" s="146" t="str"/>
    </x:row>
    <x:row r="134">
      <x:c r="A134" s="146" t="str">
        <x:v>Lope Méndez</x:v>
      </x:c>
      <x:c r="B134" s="146" t="str">
        <x:v>ID91: natural de Trelles, Coaña.</x:v>
      </x:c>
      <x:c r="C134" s="146" t="str"/>
      <x:c r="D134" s="146" t="str"/>
    </x:row>
    <x:row r="135">
      <x:c r="A135" s="146" t="str">
        <x:v>María García</x:v>
      </x:c>
      <x:c r="B135" s="146" t="str">
        <x:v>ID92: natural de Trelles, Coaña.</x:v>
      </x:c>
      <x:c r="C135" s="146" t="str"/>
      <x:c r="D135" s="146" t="str"/>
    </x:row>
    <x:row r="136">
      <x:c r="A136" s="146" t="str">
        <x:v>Fernán López</x:v>
      </x:c>
      <x:c r="B136" s="146" t="str">
        <x:v>ID93: natural de Trelles, Coaña; «de Villar/Villarín» se conserva como variante vinculada a la casa/lugar.</x:v>
      </x:c>
      <x:c r="C136" s="146" t="str"/>
      <x:c r="D136" s="146" t="str"/>
    </x:row>
    <x:row r="137">
      <x:c r="A137" s="146" t="str">
        <x:v>Defunciones acotadas</x:v>
      </x:c>
      <x:c r="B137" s="146" t="str">
        <x:v>Suero González (ID79): antes/hacia 1614; María Alonso Infanzón (ID80): antes de 1598. El lugar de muerte sigue desconocido.</x:v>
      </x:c>
      <x:c r="C137" s="146" t="str"/>
      <x:c r="D137" s="146" t="str"/>
    </x:row>
    <x:row r="138">
      <x:c r="A138" s="146" t="str">
        <x:v>Límite actual</x:v>
      </x:c>
      <x:c r="B138" s="146" t="str">
        <x:v>Para muchas defunciones del XVI–XVII conocemos parroquia de sepultura o libro de difuntos, pero no el lugar físico de muerte; no se fuerza el dato.</x:v>
      </x:c>
      <x:c r="C138" s="146" t="str"/>
      <x:c r="D138" s="146" t="str"/>
    </x:row>
    <x:row r="140">
      <x:c r="A140" s="149" t="str">
        <x:v>22ª pasada – precisión</x:v>
      </x:c>
      <x:c r="B140" s="149" t="str">
        <x:v>Se corrige una cota de defunción y se añaden dos lugares de sepultura documentados.</x:v>
      </x:c>
      <x:c r="C140" s="149" t="str"/>
      <x:c r="D140" s="149" t="str"/>
    </x:row>
    <x:row r="141">
      <x:c r="A141" s="149" t="str">
        <x:v>Suero González</x:v>
      </x:c>
      <x:c r="B141" s="149" t="str">
        <x:v>ID79: fallecido antes de 1610, no antes de 1614. La corrección sale de la redacción exacta del testimonio.</x:v>
      </x:c>
      <x:c r="C141" s="149" t="str"/>
      <x:c r="D141" s="149" t="str"/>
    </x:row>
    <x:row r="142">
      <x:c r="A142" s="149" t="str">
        <x:v>Lope Méndez + María García</x:v>
      </x:c>
      <x:c r="B142" s="149" t="str">
        <x:v>IDs 91–92: ambos estaban enterrados en la parroquia de Trelles; no se conoce el lugar físico de muerte.</x:v>
      </x:c>
      <x:c r="C142" s="149" t="str"/>
      <x:c r="D142" s="149" t="str"/>
    </x:row>
    <x:row r="143">
      <x:c r="A143" s="149" t="str">
        <x:v>María Alfonso Infanzón</x:v>
      </x:c>
      <x:c r="B143" s="149" t="str">
        <x:v>ID80: nacida en Coaña; además descendía de la Casa de Lamabona, San Antolín de Villanueva (Navia).</x:v>
      </x:c>
      <x:c r="C143" s="149" t="str"/>
      <x:c r="D143" s="149" t="str"/>
    </x:row>
    <x:row r="144">
      <x:c r="A144" s="149" t="str">
        <x:v>Modernos</x:v>
      </x:c>
      <x:c r="B144" s="149" t="str">
        <x:v>Las búsquedas exactas de Ramiro Pérez González, Caridad Sánchez González, Nicolás Martínez Ruiz y otros no dieron coincidencias fiables para completar lugar de defunción.</x:v>
      </x:c>
      <x:c r="C144" s="149" t="str"/>
      <x:c r="D144" s="149" t="str"/>
    </x:row>
    <x:row r="145">
      <x:c r="A145" s="149" t="str">
        <x:v>Criterio</x:v>
      </x:c>
      <x:c r="B145" s="149" t="str">
        <x:v>Se sigue evitando convertir parroquia de entierro, residencia o casa solar en lugar de nacimiento/defunción sin una expresión explícita de la fuente.</x:v>
      </x:c>
      <x:c r="C145" s="149" t="str"/>
      <x:c r="D145" s="149" t="str"/>
    </x:row>
    <x:row r="147">
      <x:c r="A147" s="151" t="str">
        <x:v>23ª pasada – nueva rama documentada</x:v>
      </x:c>
      <x:c r="B147" s="151" t="str">
        <x:v>Se añaden 7 personas de la rama Valle / García Infanzón / García del Real, enlazadas a María Méndez Trelles y Morán (ID141).</x:v>
      </x:c>
      <x:c r="C147" s="151" t="str"/>
      <x:c r="D147" s="151" t="str"/>
    </x:row>
    <x:row r="148">
      <x:c r="A148" s="151" t="str">
        <x:v>Alonso Fernández del Valle</x:v>
      </x:c>
      <x:c r="B148" s="151" t="str">
        <x:v>ID175: vecino de La Murola; murió en 1739 y fue sepultado en Villacondide.</x:v>
      </x:c>
      <x:c r="C148" s="151" t="str"/>
      <x:c r="D148" s="151" t="str"/>
    </x:row>
    <x:row r="149">
      <x:c r="A149" s="151" t="str">
        <x:v>María Francisca del Valle</x:v>
      </x:c>
      <x:c r="B149" s="151" t="str">
        <x:v>ID176: falleció el 03/05/1760 en Villacondide; hija de IDs 175 y 141.</x:v>
      </x:c>
      <x:c r="C149" s="151" t="str"/>
      <x:c r="D149" s="151" t="str"/>
    </x:row>
    <x:row r="150">
      <x:c r="A150" s="151" t="str">
        <x:v>Juan García Infanzón y Omaña</x:v>
      </x:c>
      <x:c r="B150" s="151" t="str">
        <x:v>ID177: natural/bautizado en Coaña; primer marido de María Francisca.</x:v>
      </x:c>
      <x:c r="C150" s="151" t="str"/>
      <x:c r="D150" s="151" t="str"/>
    </x:row>
    <x:row r="151">
      <x:c r="A151" s="151" t="str">
        <x:v>Francisco-Antonio-Pablo</x:v>
      </x:c>
      <x:c r="B151" s="151" t="str">
        <x:v>ID178: nacido 30/06/1742 en Villacondide; falleció en su casa de La Murola, Villacondide, en enero de 1808.</x:v>
      </x:c>
      <x:c r="C151" s="151" t="str"/>
      <x:c r="D151" s="151" t="str"/>
    </x:row>
    <x:row r="152">
      <x:c r="A152" s="151" t="str">
        <x:v>García del Real</x:v>
      </x:c>
      <x:c r="B152" s="151" t="str">
        <x:v>Se añaden Bernardo García del Real y sus padres Juan García del Real + Juana Fernández, vecinos de Trelles.</x:v>
      </x:c>
      <x:c r="C152" s="151" t="str"/>
      <x:c r="D152" s="151" t="str"/>
    </x:row>
    <x:row r="153">
      <x:c r="A153" s="151" t="str">
        <x:v>Homónimo descartado</x:v>
      </x:c>
      <x:c r="B153" s="151" t="str">
        <x:v>El Juan García del Real que murió en Madrid en 1838 es demasiado tardío para ser ID180; no se fusiona.</x:v>
      </x:c>
      <x:c r="C153" s="151" t="str"/>
      <x:c r="D153" s="151" t="str"/>
    </x:row>
    <x:row r="155">
      <x:c r="A155" s="154" t="str">
        <x:v>24ª pasada – descendencia García Infanzón</x:v>
      </x:c>
      <x:c r="B155" s="154" t="str">
        <x:v>Se añaden 13 personas: Bárbara Cienfuegos, sus 10 hijos con Francisco García Infanzón y dos yernos.</x:v>
      </x:c>
      <x:c r="C155" s="154" t="str"/>
      <x:c r="D155" s="154" t="str"/>
    </x:row>
    <x:row r="156">
      <x:c r="A156" s="154" t="str">
        <x:v>Bárbara Cienfuegos</x:v>
      </x:c>
      <x:c r="B156" s="154" t="str">
        <x:v>ID182: una partida de 1853 la declara natural de Villacondide.</x:v>
      </x:c>
      <x:c r="C156" s="154" t="str"/>
      <x:c r="D156" s="154" t="str"/>
    </x:row>
    <x:row r="157">
      <x:c r="A157" s="154" t="str">
        <x:v>10 hijos</x:v>
      </x:c>
      <x:c r="B157" s="154" t="str">
        <x:v>IDs183–192, nacidos entre 1763 y 1786 en La Murola/Villacondide.</x:v>
      </x:c>
      <x:c r="C157" s="154" t="str"/>
      <x:c r="D157" s="154" t="str"/>
    </x:row>
    <x:row r="158">
      <x:c r="A158" s="154" t="str">
        <x:v>Francisca Bárbara</x:v>
      </x:c>
      <x:c r="B158" s="154" t="str">
        <x:v>ID184: 01/12/1765–16/10/1853, Villacondide; casó con Domingo Méndez Cabodevilla.</x:v>
      </x:c>
      <x:c r="C158" s="154" t="str"/>
      <x:c r="D158" s="154" t="str"/>
    </x:row>
    <x:row r="159">
      <x:c r="A159" s="154" t="str">
        <x:v>Clara</x:v>
      </x:c>
      <x:c r="B159" s="154" t="str">
        <x:v>ID188: nacida 21/10/1776; enterrada en Villacondide el 21/02/1847.</x:v>
      </x:c>
      <x:c r="C159" s="154" t="str"/>
      <x:c r="D159" s="154" t="str"/>
    </x:row>
    <x:row r="160">
      <x:c r="A160" s="154" t="str">
        <x:v>Tomás Antonio</x:v>
      </x:c>
      <x:c r="B160" s="154" t="str">
        <x:v>ID192: nacido 18/10/1786 en La Murola; murió en 1809 luchando contra los franceses.</x:v>
      </x:c>
      <x:c r="C160" s="154" t="str"/>
      <x:c r="D160" s="154" t="str"/>
    </x:row>
    <x:row r="161">
      <x:c r="A161" s="154" t="str">
        <x:v>Domingo Méndez Cabodevilla</x:v>
      </x:c>
      <x:c r="B161" s="154" t="str">
        <x:v>ID194: falleció en el río Navia el 16/09/1846.</x:v>
      </x:c>
      <x:c r="C161" s="154" t="str"/>
      <x:c r="D161" s="154" t="str"/>
    </x:row>
    <x:row r="162">
      <x:c r="A162" s="154" t="str">
        <x:v>Calidad documental</x:v>
      </x:c>
      <x:c r="B162" s="154" t="str">
        <x:v>La mayor parte de estos datos proceden de partidas parroquiales de Villacondide transcritas por Gonzalo Anes.</x:v>
      </x:c>
      <x:c r="C162" s="154" t="str"/>
      <x:c r="D162" s="154" t="str"/>
    </x:row>
    <x:row r="164">
      <x:c r="A164" s="165" t="str">
        <x:v>25ª pasada – solo los más antiguos</x:v>
      </x:c>
      <x:c r="B164" s="165" t="str">
        <x:v>Se abandona temporalmente la expansión de descendientes modernos y se concentra la investigación en los siglos XIV–XVI.</x:v>
      </x:c>
      <x:c r="C164" s="165" t="str"/>
      <x:c r="D164" s="165" t="str"/>
    </x:row>
    <x:row r="165">
      <x:c r="A165" s="165" t="str">
        <x:v>Extremo sólido</x:v>
      </x:c>
      <x:c r="B165" s="165" t="str">
        <x:v>Gonzalo Pérez Pico de Coaña (ID171) sigue siendo el antepasado más antiguo de esa rama con filiación fuerte; su padre aparece solo como «poseedor de la casa solar de Coaña», sin nombre.</x:v>
      </x:c>
      <x:c r="C165" s="165" t="str"/>
      <x:c r="D165" s="165" t="str"/>
    </x:row>
    <x:row r="166">
      <x:c r="A166" s="165" t="str">
        <x:v>Cadena medieval</x:v>
      </x:c>
      <x:c r="B166" s="165" t="str">
        <x:v>Diego García → Mendo Díaz → Garci Sánchez → Lope Díaz → Suero González aparece en genealogías antiguas, pero Gonzalo Anes advierte que no está fundamentada con documentos medievales.</x:v>
      </x:c>
      <x:c r="C166" s="165" t="str"/>
      <x:c r="D166" s="165" t="str"/>
    </x:row>
    <x:row r="167">
      <x:c r="A167" s="165" t="str">
        <x:v>Garci Sánchez</x:v>
      </x:c>
      <x:c r="B167" s="165" t="str">
        <x:v>La fuente antigua dice que hizo solar y casa en el Castro de Pumarín y que le sucedió Lope Díaz.</x:v>
      </x:c>
      <x:c r="C167" s="165" t="str"/>
      <x:c r="D167" s="165" t="str"/>
    </x:row>
    <x:row r="168">
      <x:c r="A168" s="165" t="str">
        <x:v>Diego García</x:v>
      </x:c>
      <x:c r="B168" s="165" t="str">
        <x:v>La tradición lo hace señor de Trelles y muerto en Aljubarrota en 1385. Se mantiene con certeza MUY BAJA.</x:v>
      </x:c>
      <x:c r="C168" s="165" t="str"/>
      <x:c r="D168" s="165" t="str"/>
    </x:row>
    <x:row r="169">
      <x:c r="A169" s="165" t="str">
        <x:v>Nueva hoja</x:v>
      </x:c>
      <x:c r="B169" s="165" t="str">
        <x:v>«Más antiguos» separa visualmente lo documentado de la tradición genealógica.</x:v>
      </x:c>
      <x:c r="C169" s="165" t="str"/>
      <x:c r="D169" s="165" t="str"/>
    </x:row>
    <x:row r="170">
      <x:c r="A170" s="165" t="str">
        <x:v>Siguiente objetivo</x:v>
      </x:c>
      <x:c r="B170" s="165" t="str">
        <x:v>Buscar el nombre del padre de Gonzalo Pérez Pico de Coaña y alguna referencia primaria del XV que permita unir la cadena documentada con la tradicional.</x:v>
      </x:c>
      <x:c r="C170" s="165" t="str"/>
      <x:c r="D170" s="165" t="str"/>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50" hidden="0" customWidth="1"/>
    <x:col min="3" max="3" width="70" hidden="0" customWidth="1"/>
    <x:col min="4" max="4" width="55" hidden="0" customWidth="1"/>
    <x:col min="5" max="5" width="12" hidden="0" customWidth="1"/>
    <x:col min="6" max="6" width="48" hidden="0" customWidth="1"/>
  </x:cols>
  <x:sheetData>
    <x:row r="1">
      <x:c r="A1" s="97" t="str">
        <x:v>Estado</x:v>
      </x:c>
      <x:c r="B1" s="97" t="str">
        <x:v>IDs</x:v>
      </x:c>
      <x:c r="C1" s="97" t="str">
        <x:v>Interpretación</x:v>
      </x:c>
      <x:c r="D1" s="97" t="str">
        <x:v>Acción</x:v>
      </x:c>
      <x:c r="E1" s="97" t="str">
        <x:v>Cuenta</x:v>
      </x:c>
      <x:c r="F1" s="117" t="str">
        <x:v>Resultado 16ª pasada</x:v>
      </x:c>
    </x:row>
    <x:row r="2">
      <x:c r="A2" s="12" t="str">
        <x:v>ENLAZADO</x:v>
      </x:c>
      <x:c r="B2" s="12" t="str">
        <x:v>73, 74, 75, 76, 77, 78, 79, 80, 81, 82, 83, 84, 85, 86, 87, 88, 89, 90, 92, 94, 95, 96, 97, 98, 99, 100, 101, 102, 103, 104, 105, 106, 107, 108, 109, 110, 111, 113, 114, 115, 116, 117, 118, 119, 120, 135, 136, 137, 138, 141, 142, 143, 144, 145, 146, 147, 148, 149, 150, 151, 152, 153, 154, 155, 156, 157, 158, 159, 160, 161, 162, 163, 164, 165, 166, 167, 168, 170, 171, 172, 173, 175, 176, 177, 178, 179, 180, 181, 175, 176, 177, 178, 179, 180, 181, 182, 183, 184, 185, 186, 187, 188, 189, 190, 191, 192, 193, 194</x:v>
      </x:c>
      <x:c r="C2" s="12" t="str">
        <x:v>Tiene relación explícita con otra persona del árbol mediante ID.</x:v>
      </x:c>
      <x:c r="D2" s="12" t="str">
        <x:v>Puede incorporarse al árbol genealógico.</x:v>
      </x:c>
      <x:c r="E2" s="12" t="n">
        <x:v>108</x:v>
      </x:c>
    </x:row>
    <x:row r="3">
      <x:c r="A3" s="12" t="str">
        <x:v>ENLAZADO CON HIPÓTESIS</x:v>
      </x:c>
      <x:c r="B3" s="12" t="str">
        <x:v>91, 93, 112, 121, 123, 124, 127, 128, 129, 130, 131, 132, 133, 134, 139, 140, 169</x:v>
      </x:c>
      <x:c r="C3" s="12" t="str">
        <x:v>Está conectado a una rama concreta, pero la identidad/filiación tiene evidencia incompleta, conflictiva o tradicional.</x:v>
      </x:c>
      <x:c r="D3" s="12" t="str">
        <x:v>Mantener con línea discontinua o nota.</x:v>
      </x:c>
      <x:c r="E3" s="12" t="n">
        <x:v>17</x:v>
      </x:c>
    </x:row>
    <x:row r="4">
      <x:c r="A4" s="12" t="str">
        <x:v>CANDIDATO NO ENLAZADO</x:v>
      </x:c>
      <x:c r="B4" s="12" t="str">
        <x:v>72, 122, 125, 126, 174</x:v>
      </x:c>
      <x:c r="C4" s="12" t="str">
        <x:v>Existe documentalmente, pero falta el parentesco exacto con el árbol principal.</x:v>
      </x:c>
      <x:c r="D4" s="12" t="str">
        <x:v>No dibujarlo en el árbol principal hasta cerrar parentesco.</x:v>
      </x:c>
      <x:c r="E4" s="12" t="n">
        <x:v>5</x:v>
      </x:c>
    </x:row>
    <x:row r="5">
      <x:c r="A5" s="12" t="str">
        <x:v>REFERENCIAS A IDs INEXISTENTES</x:v>
      </x:c>
      <x:c r="B5" s="12" t="str">
        <x:v>Ninguna</x:v>
      </x:c>
      <x:c r="C5" s="12" t="str">
        <x:v>No hay relaciones que apunten a IDs inexistentes.</x:v>
      </x:c>
      <x:c r="D5" s="12" t="str">
        <x:v>Sin acción.</x:v>
      </x:c>
      <x:c r="E5" s="12" t="n">
        <x:v>0</x:v>
      </x:c>
    </x:row>
    <x:row r="8">
      <x:c r="A8" s="100" t="str">
        <x:v>ID</x:v>
      </x:c>
      <x:c r="B8" s="100" t="str">
        <x:v>Persona</x:v>
      </x:c>
      <x:c r="C8" s="100" t="str">
        <x:v>Por qué queda fuera del árbol principal</x:v>
      </x:c>
      <x:c r="D8" s="100" t="str">
        <x:v>Siguiente objetivo</x:v>
      </x:c>
    </x:row>
    <x:row r="9">
      <x:c r="A9" s="142" t="n">
        <x:v>72</x:v>
      </x:c>
      <x:c r="B9" s="142" t="str">
        <x:v>Diego Antonio Sánchez de Ron Méndez-Trelles</x:v>
      </x:c>
      <x:c r="C9" s="142" t="str">
        <x:v>Faltan padres.</x:v>
      </x:c>
      <x:c r="D9" s="142" t="str">
        <x:v>Bautismo 1763 / matrimonio.</x:v>
      </x:c>
      <x:c r="F9" s="119"/>
    </x:row>
    <x:row r="10">
      <x:c r="A10" s="142" t="n">
        <x:v>122</x:v>
      </x:c>
      <x:c r="B10" s="142" t="str">
        <x:v>García Gómez de Trelles</x:v>
      </x:c>
      <x:c r="C10" s="142" t="str">
        <x:v>Aparece durante 1524–1572 sin filiación explícita.</x:v>
      </x:c>
      <x:c r="D10" s="142" t="str">
        <x:v>Protocolos y asientos completos.</x:v>
      </x:c>
      <x:c r="F10" s="119"/>
    </x:row>
    <x:row r="11">
      <x:c r="A11" s="142" t="n">
        <x:v>125</x:v>
      </x:c>
      <x:c r="B11" s="142" t="str">
        <x:v>García González de Pumarín</x:v>
      </x:c>
      <x:c r="C11" s="142" t="str">
        <x:v>Solo consta como hermano de Pedro.</x:v>
      </x:c>
      <x:c r="D11" s="142" t="str">
        <x:v>Testamentos/dotes/protocolos.</x:v>
      </x:c>
      <x:c r="F11" s="119"/>
    </x:row>
    <x:row r="12">
      <x:c r="A12" s="142" t="n">
        <x:v>126</x:v>
      </x:c>
      <x:c r="B12" s="142" t="str">
        <x:v>Pedro de Pumarín</x:v>
      </x:c>
      <x:c r="C12" s="142" t="str">
        <x:v>Solo consta como hermano de García González.</x:v>
      </x:c>
      <x:c r="D12" s="142" t="str">
        <x:v>Testamentos/dotes/protocolos.</x:v>
      </x:c>
      <x:c r="F12" s="119"/>
    </x:row>
    <x:row r="13">
      <x:c r="A13" s="142" t="n">
        <x:v>174</x:v>
      </x:c>
      <x:c r="B13" s="142" t="str">
        <x:v>Gómez Ares de Trelles (seglar, 1572)</x:v>
      </x:c>
      <x:c r="C13" s="142" t="str">
        <x:v>Homónimo separado del clérigo; parentesco desconocido.</x:v>
      </x:c>
      <x:c r="D13" s="142" t="str">
        <x:v>Padrones 1561/1566/1572.</x:v>
      </x:c>
      <x:c r="F13" s="119"/>
    </x:row>
    <x:row r="14">
      <x:c r="A14" s="112"/>
      <x:c r="B14" s="112"/>
      <x:c r="C14" s="112"/>
      <x:c r="D14" s="112"/>
      <x:c r="F14" s="119"/>
    </x:row>
    <x:row r="15">
      <x:c r="A15" s="103"/>
      <x:c r="B15" s="103"/>
      <x:c r="C15" s="103"/>
      <x:c r="D15" s="103"/>
    </x:row>
    <x:row r="16">
      <x:c r="A16" s="103"/>
      <x:c r="B16" s="103"/>
      <x:c r="C16" s="103"/>
      <x:c r="D16" s="103"/>
    </x:row>
    <x:row r="17">
      <x:c r="A17" s="91"/>
      <x:c r="B17" s="91"/>
      <x:c r="C17" s="91"/>
      <x:c r="D17" s="91"/>
    </x:row>
    <x:row r="18">
      <x:c r="A18" s="91"/>
      <x:c r="B18" s="91"/>
      <x:c r="C18" s="91"/>
      <x:c r="D18" s="91"/>
    </x:row>
    <x:row r="19">
      <x:c r="A19" s="91"/>
      <x:c r="B19" s="91"/>
      <x:c r="C19" s="91"/>
      <x:c r="D19" s="91"/>
    </x:row>
    <x:row r="20">
      <x:c r="A20" s="91"/>
      <x:c r="B20" s="91"/>
      <x:c r="C20" s="91"/>
      <x:c r="D20" s="91"/>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36" hidden="0" customWidth="1"/>
    <x:col min="3" max="3" width="31" hidden="0" customWidth="1"/>
    <x:col min="4" max="4" width="34" hidden="0" customWidth="1"/>
    <x:col min="5" max="5" width="42" hidden="0" customWidth="1"/>
    <x:col min="6" max="6" width="31" hidden="0" customWidth="1"/>
    <x:col min="7" max="7" width="34" hidden="0" customWidth="1"/>
    <x:col min="8" max="8" width="42" hidden="0" customWidth="1"/>
    <x:col min="9" max="9" width="65" hidden="0" customWidth="1"/>
    <x:col min="10" max="10" width="55" hidden="0" customWidth="1"/>
  </x:cols>
  <x:sheetData>
    <x:row r="1">
      <x:c r="A1" s="131" t="str">
        <x:v>ID</x:v>
      </x:c>
      <x:c r="B1" s="131" t="str">
        <x:v>Persona</x:v>
      </x:c>
      <x:c r="C1" s="131" t="str">
        <x:v>Lugar nacimiento</x:v>
      </x:c>
      <x:c r="D1" s="131" t="str">
        <x:v>Estado nacimiento</x:v>
      </x:c>
      <x:c r="E1" s="131" t="str">
        <x:v>Fuente / base nacimiento</x:v>
      </x:c>
      <x:c r="F1" s="131" t="str">
        <x:v>Lugar defunción</x:v>
      </x:c>
      <x:c r="G1" s="131" t="str">
        <x:v>Estado defunción</x:v>
      </x:c>
      <x:c r="H1" s="131" t="str">
        <x:v>Fuente / base defunción</x:v>
      </x:c>
      <x:c r="I1" s="131" t="str">
        <x:v>Resultado de la búsqueda</x:v>
      </x:c>
      <x:c r="J1" s="131" t="str">
        <x:v>Siguiente documento útil</x:v>
      </x:c>
    </x:row>
    <x:row r="2">
      <x:c r="A2" s="15" t="n">
        <x:v>1</x:v>
      </x:c>
      <x:c r="B2" s="15" t="str">
        <x:v>María Caridad Martínez Pérez</x:v>
      </x:c>
      <x:c r="C2" s="15" t="str">
        <x:v>Avilés (Asturias)</x:v>
      </x:c>
      <x:c r="D2" s="15" t="str">
        <x:v>LOCALIZADO / YA EN EXCEL</x:v>
      </x:c>
      <x:c r="E2" s="15" t="str">
        <x:v>Dato previo del árbol</x:v>
      </x:c>
      <x:c r="F2" s="15" t="str"/>
      <x:c r="G2" s="15" t="str">
        <x:v>NO INVESTIGADO – posible persona viva/identidad insuficiente</x:v>
      </x:c>
      <x:c r="H2" s="15" t="str">
        <x:v>Búsqueda/revisión sin coincidencia fiable</x:v>
      </x:c>
      <x:c r="I2" s="15" t="str">
        <x:v>Lugar de nacimiento localizado; lugar de defunción no hallado con suficiente fiabilidad.</x:v>
      </x:c>
      <x:c r="J2" s="15" t="str">
        <x:v>Registro Civil de Avilés si se necesita certificación familiar</x:v>
      </x:c>
    </x:row>
    <x:row r="3">
      <x:c r="A3" s="15" t="n">
        <x:v>2</x:v>
      </x:c>
      <x:c r="B3" s="15" t="str">
        <x:v>Santiago Martínez García</x:v>
      </x:c>
      <x:c r="C3" s="15" t="str">
        <x:v>Becerril del Carpio (Palencia)</x:v>
      </x:c>
      <x:c r="D3" s="15" t="str">
        <x:v>LOCALIZADO / YA EN EXCEL</x:v>
      </x:c>
      <x:c r="E3" s="15" t="str">
        <x:v>https://censoarchivos.cultura.gob.es/CensoGuia/archivodetail.htm?id=57797</x:v>
      </x:c>
      <x:c r="F3" s="15" t="str">
        <x:v>Avilés (Asturias)</x:v>
      </x:c>
      <x:c r="G3" s="15" t="str">
        <x:v>LOCALIZADO / YA EN EXCEL</x:v>
      </x:c>
      <x:c r="H3" s="15" t="str">
        <x:v>https://censoarchivos.cultura.gob.es/CensoGuia/archivodetail.htm?id=57797</x:v>
      </x:c>
      <x:c r="I3" s="15" t="str">
        <x:v>Constan ambos lugares en el Excel tras la revisión.</x:v>
      </x:c>
      <x:c r="J3" s="15" t="str">
        <x:v>Archivo Diocesano de Palencia: parroquias de Santa María/San Pedro de Becerril del Carpio; Registro Civil para 1928</x:v>
      </x:c>
    </x:row>
    <x:row r="4">
      <x:c r="A4" s="15" t="n">
        <x:v>3</x:v>
      </x:c>
      <x:c r="B4" s="15" t="str">
        <x:v>Santiago Martínez Pérez (hno.)</x:v>
      </x:c>
      <x:c r="C4" s="15" t="str">
        <x:v>Avilés (Asturias)</x:v>
      </x:c>
      <x:c r="D4" s="15" t="str">
        <x:v>LOCALIZADO / YA EN EXCEL</x:v>
      </x:c>
      <x:c r="E4" s="15" t="str">
        <x:v>Dato previo del árbol</x:v>
      </x:c>
      <x:c r="F4" s="15" t="str"/>
      <x:c r="G4" s="15" t="str">
        <x:v>NO INVESTIGADO – posible persona viva/identidad insuficiente</x:v>
      </x:c>
      <x:c r="H4" s="15" t="str">
        <x:v>Búsqueda/revisión sin coincidencia fiable</x:v>
      </x:c>
      <x:c r="I4" s="15" t="str">
        <x:v>Lugar de nacimiento localizado; lugar de defunción no hallado con suficiente fiabilidad.</x:v>
      </x:c>
      <x:c r="J4" s="15" t="str">
        <x:v>Registro Civil / padrones de Avilés</x:v>
      </x:c>
    </x:row>
    <x:row r="5">
      <x:c r="A5" s="15" t="n">
        <x:v>4</x:v>
      </x:c>
      <x:c r="B5" s="15" t="str">
        <x:v>Manuel Martínez García (hno. de Santiago)</x:v>
      </x:c>
      <x:c r="C5" s="15" t="str"/>
      <x:c r="D5" s="15" t="str">
        <x:v>NO INVESTIGADO A FONDO – identidad insuficiente/posible vivo</x:v>
      </x:c>
      <x:c r="E5" s="15" t="str">
        <x:v>Búsqueda/revisión sin coincidencia fiable</x:v>
      </x:c>
      <x:c r="F5" s="15" t="str"/>
      <x:c r="G5" s="15" t="str">
        <x:v>NO INVESTIGADO – posible persona viva/identidad insuficiente</x:v>
      </x:c>
      <x:c r="H5" s="15" t="str">
        <x:v>Búsqueda/revisión sin coincidencia fiable</x:v>
      </x:c>
      <x:c r="I5" s="15" t="str">
        <x:v>No se ha hallado un lugar fiable para nacimiento ni defunción en las fuentes abiertas revisadas.</x:v>
      </x:c>
      <x:c r="J5" s="15" t="str">
        <x:v>Registro Civil / parroquia familiar</x:v>
      </x:c>
    </x:row>
    <x:row r="6">
      <x:c r="A6" s="15" t="n">
        <x:v>5</x:v>
      </x:c>
      <x:c r="B6" s="15" t="str">
        <x:v>«Esco» Martínez García (hno./hna. de Santiago)</x:v>
      </x:c>
      <x:c r="C6" s="15" t="str"/>
      <x:c r="D6" s="15" t="str">
        <x:v>NO INVESTIGADO A FONDO – identidad insuficiente/posible vivo</x:v>
      </x:c>
      <x:c r="E6" s="15" t="str">
        <x:v>Búsqueda/revisión sin coincidencia fiable</x:v>
      </x:c>
      <x:c r="F6" s="15" t="str"/>
      <x:c r="G6" s="15" t="str">
        <x:v>NO INVESTIGADO – posible persona viva/identidad insuficiente</x:v>
      </x:c>
      <x:c r="H6" s="15" t="str">
        <x:v>Búsqueda/revisión sin coincidencia fiable</x:v>
      </x:c>
      <x:c r="I6" s="15" t="str">
        <x:v>No se ha hallado un lugar fiable para nacimiento ni defunción en las fuentes abiertas revisadas.</x:v>
      </x:c>
      <x:c r="J6" s="15" t="str">
        <x:v>Registro Civil / parroquia familiar</x:v>
      </x:c>
    </x:row>
    <x:row r="7">
      <x:c r="A7" s="15" t="n">
        <x:v>6</x:v>
      </x:c>
      <x:c r="B7" s="15" t="str">
        <x:v>María Teresa Martínez García (hna. de Santiago)</x:v>
      </x:c>
      <x:c r="C7" s="15" t="str"/>
      <x:c r="D7" s="15" t="str">
        <x:v>NO INVESTIGADO A FONDO – identidad insuficiente/posible vivo</x:v>
      </x:c>
      <x:c r="E7" s="15" t="str">
        <x:v>Búsqueda/revisión sin coincidencia fiable</x:v>
      </x:c>
      <x:c r="F7" s="15" t="str"/>
      <x:c r="G7" s="15" t="str">
        <x:v>NO INVESTIGADO – posible persona viva/identidad insuficiente</x:v>
      </x:c>
      <x:c r="H7" s="15" t="str">
        <x:v>Búsqueda/revisión sin coincidencia fiable</x:v>
      </x:c>
      <x:c r="I7" s="15" t="str">
        <x:v>No se ha hallado un lugar fiable para nacimiento ni defunción en las fuentes abiertas revisadas.</x:v>
      </x:c>
      <x:c r="J7" s="15" t="str">
        <x:v>Registro Civil / parroquia familiar</x:v>
      </x:c>
    </x:row>
    <x:row r="8">
      <x:c r="A8" s="15" t="n">
        <x:v>7</x:v>
      </x:c>
      <x:c r="B8" s="15" t="str">
        <x:v>Andrea Martínez García (hna. de Santiago)</x:v>
      </x:c>
      <x:c r="C8" s="15" t="str"/>
      <x:c r="D8" s="15" t="str">
        <x:v>NO INVESTIGADO A FONDO – identidad insuficiente/posible vivo</x:v>
      </x:c>
      <x:c r="E8" s="15" t="str">
        <x:v>Búsqueda/revisión sin coincidencia fiable</x:v>
      </x:c>
      <x:c r="F8" s="15" t="str"/>
      <x:c r="G8" s="15" t="str">
        <x:v>NO INVESTIGADO – posible persona viva/identidad insuficiente</x:v>
      </x:c>
      <x:c r="H8" s="15" t="str">
        <x:v>Búsqueda/revisión sin coincidencia fiable</x:v>
      </x:c>
      <x:c r="I8" s="15" t="str">
        <x:v>No se ha hallado un lugar fiable para nacimiento ni defunción en las fuentes abiertas revisadas.</x:v>
      </x:c>
      <x:c r="J8" s="15" t="str">
        <x:v>Registro Civil / parroquia familiar</x:v>
      </x:c>
    </x:row>
    <x:row r="9">
      <x:c r="A9" s="15" t="n">
        <x:v>8</x:v>
      </x:c>
      <x:c r="B9" s="15" t="str">
        <x:v>María Jesús Martínez García (hna. de Santiago)</x:v>
      </x:c>
      <x:c r="C9" s="15" t="str"/>
      <x:c r="D9" s="15" t="str">
        <x:v>NO INVESTIGADO A FONDO – identidad insuficiente/posible vivo</x:v>
      </x:c>
      <x:c r="E9" s="15" t="str">
        <x:v>Búsqueda/revisión sin coincidencia fiable</x:v>
      </x:c>
      <x:c r="F9" s="15" t="str"/>
      <x:c r="G9" s="15" t="str">
        <x:v>NO INVESTIGADO – posible persona viva/identidad insuficiente</x:v>
      </x:c>
      <x:c r="H9" s="15" t="str">
        <x:v>Búsqueda/revisión sin coincidencia fiable</x:v>
      </x:c>
      <x:c r="I9" s="15" t="str">
        <x:v>No se ha hallado un lugar fiable para nacimiento ni defunción en las fuentes abiertas revisadas.</x:v>
      </x:c>
      <x:c r="J9" s="15" t="str">
        <x:v>Registro Civil / parroquia familiar</x:v>
      </x:c>
    </x:row>
    <x:row r="10">
      <x:c r="A10" s="15" t="n">
        <x:v>9</x:v>
      </x:c>
      <x:c r="B10" s="15" t="str">
        <x:v>María del Carmen Martínez García (hna. de Santiago)</x:v>
      </x:c>
      <x:c r="C10" s="15" t="str"/>
      <x:c r="D10" s="15" t="str">
        <x:v>NO INVESTIGADO A FONDO – identidad insuficiente/posible vivo</x:v>
      </x:c>
      <x:c r="E10" s="15" t="str">
        <x:v>Búsqueda/revisión sin coincidencia fiable</x:v>
      </x:c>
      <x:c r="F10" s="15" t="str"/>
      <x:c r="G10" s="15" t="str">
        <x:v>NO INVESTIGADO – posible persona viva/identidad insuficiente</x:v>
      </x:c>
      <x:c r="H10" s="15" t="str">
        <x:v>Búsqueda/revisión sin coincidencia fiable</x:v>
      </x:c>
      <x:c r="I10" s="15" t="str">
        <x:v>No se ha hallado un lugar fiable para nacimiento ni defunción en las fuentes abiertas revisadas.</x:v>
      </x:c>
      <x:c r="J10" s="15" t="str">
        <x:v>Registro Civil / parroquia familiar</x:v>
      </x:c>
    </x:row>
    <x:row r="11">
      <x:c r="A11" s="15" t="n">
        <x:v>10</x:v>
      </x:c>
      <x:c r="B11" s="15" t="str">
        <x:v>Nicolás Martínez Ruiz</x:v>
      </x:c>
      <x:c r="C11" s="15" t="str">
        <x:v>San Cristóbal de Entreviñas, Avilés (según captura)</x:v>
      </x:c>
      <x:c r="D11" s="15" t="str">
        <x:v>LOCALIZADO / YA EN EXCEL</x:v>
      </x:c>
      <x:c r="E11" s="15" t="str">
        <x:v>https://iglesiadeasturias.org/archivo-historico/</x:v>
      </x:c>
      <x:c r="F11" s="15" t="str"/>
      <x:c r="G11" s="15" t="str">
        <x:v>NO LOCALIZADO EN FUENTES ABIERTAS</x:v>
      </x:c>
      <x:c r="H11" s="15" t="str">
        <x:v>Búsqueda/revisión sin coincidencia fiable</x:v>
      </x:c>
      <x:c r="I11" s="15" t="str">
        <x:v>Lugar de nacimiento localizado; lugar de defunción no hallado con suficiente fiabilidad.</x:v>
      </x:c>
      <x:c r="J11" s="15" t="str">
        <x:v>Archivo Histórico Diocesano de Oviedo / parroquia de San Cristóbal de Entreviñas; Registro Civil de Avilés</x:v>
      </x:c>
    </x:row>
    <x:row r="12">
      <x:c r="A12" s="15" t="n">
        <x:v>11</x:v>
      </x:c>
      <x:c r="B12" s="15" t="str">
        <x:v>Gregoria Martínez Ruiz</x:v>
      </x:c>
      <x:c r="C12" s="15" t="str"/>
      <x:c r="D12" s="15" t="str">
        <x:v>NO LOCALIZADO EN FUENTES ABIERTAS</x:v>
      </x:c>
      <x:c r="E12" s="15" t="str">
        <x:v>Búsqueda/revisión sin coincidencia fiable</x:v>
      </x:c>
      <x:c r="F12" s="15" t="str"/>
      <x:c r="G12" s="15" t="str">
        <x:v>NO LOCALIZADO EN FUENTES ABIERTAS</x:v>
      </x:c>
      <x:c r="H12" s="15" t="str">
        <x:v>Búsqueda/revisión sin coincidencia fiable</x:v>
      </x:c>
      <x:c r="I12" s="15" t="str">
        <x:v>No se ha hallado un lugar fiable para nacimiento ni defunción en las fuentes abiertas revisadas.</x:v>
      </x:c>
      <x:c r="J12" s="15" t="str">
        <x:v>Partida de nacimiento/bautismo + defunción en Avilés para separar homónimas</x:v>
      </x:c>
    </x:row>
    <x:row r="13">
      <x:c r="A13" s="15" t="n">
        <x:v>12</x:v>
      </x:c>
      <x:c r="B13" s="15" t="str">
        <x:v>Eloi/Eloy Martínez Ruiz</x:v>
      </x:c>
      <x:c r="C13" s="15" t="str"/>
      <x:c r="D13" s="15" t="str">
        <x:v>NO LOCALIZADO EN FUENTES ABIERTAS</x:v>
      </x:c>
      <x:c r="E13" s="15" t="str">
        <x:v>Búsqueda/revisión sin coincidencia fiable</x:v>
      </x:c>
      <x:c r="F13" s="15" t="str"/>
      <x:c r="G13" s="15" t="str">
        <x:v>NO LOCALIZADO EN FUENTES ABIERTAS</x:v>
      </x:c>
      <x:c r="H13" s="15" t="str">
        <x:v>Búsqueda/revisión sin coincidencia fiable</x:v>
      </x:c>
      <x:c r="I13" s="15" t="str">
        <x:v>No se ha hallado un lugar fiable para nacimiento ni defunción en las fuentes abiertas revisadas.</x:v>
      </x:c>
      <x:c r="J13" s="15" t="str">
        <x:v>Archivo Histórico Diocesano de Oviedo / Registro Civil</x:v>
      </x:c>
    </x:row>
    <x:row r="14">
      <x:c r="A14" s="15" t="n">
        <x:v>13</x:v>
      </x:c>
      <x:c r="B14" s="15" t="str">
        <x:v>Escolástica Martínez Ruiz</x:v>
      </x:c>
      <x:c r="C14" s="15" t="str"/>
      <x:c r="D14" s="15" t="str">
        <x:v>NO LOCALIZADO EN FUENTES ABIERTAS</x:v>
      </x:c>
      <x:c r="E14" s="15" t="str">
        <x:v>Búsqueda/revisión sin coincidencia fiable</x:v>
      </x:c>
      <x:c r="F14" s="15" t="str"/>
      <x:c r="G14" s="15" t="str">
        <x:v>NO LOCALIZADO EN FUENTES ABIERTAS</x:v>
      </x:c>
      <x:c r="H14" s="15" t="str">
        <x:v>Búsqueda/revisión sin coincidencia fiable</x:v>
      </x:c>
      <x:c r="I14" s="15" t="str">
        <x:v>No se ha hallado un lugar fiable para nacimiento ni defunción en las fuentes abiertas revisadas.</x:v>
      </x:c>
      <x:c r="J14" s="15" t="str">
        <x:v>Excel original + partida parroquial</x:v>
      </x:c>
    </x:row>
    <x:row r="15">
      <x:c r="A15" s="15" t="n">
        <x:v>14</x:v>
      </x:c>
      <x:c r="B15" s="15" t="str">
        <x:v>Jaime Martínez Ruiz</x:v>
      </x:c>
      <x:c r="C15" s="15" t="str"/>
      <x:c r="D15" s="15" t="str">
        <x:v>NO LOCALIZADO EN FUENTES ABIERTAS</x:v>
      </x:c>
      <x:c r="E15" s="15" t="str">
        <x:v>Búsqueda/revisión sin coincidencia fiable</x:v>
      </x:c>
      <x:c r="F15" s="15" t="str"/>
      <x:c r="G15" s="15" t="str">
        <x:v>NO LOCALIZADO EN FUENTES ABIERTAS</x:v>
      </x:c>
      <x:c r="H15" s="15" t="str">
        <x:v>Búsqueda/revisión sin coincidencia fiable</x:v>
      </x:c>
      <x:c r="I15" s="15" t="str">
        <x:v>No se ha hallado un lugar fiable para nacimiento ni defunción en las fuentes abiertas revisadas.</x:v>
      </x:c>
      <x:c r="J15" s="15" t="str">
        <x:v>Archivo parroquial / Registro Civil</x:v>
      </x:c>
    </x:row>
    <x:row r="16">
      <x:c r="A16" s="15" t="n">
        <x:v>15</x:v>
      </x:c>
      <x:c r="B16" s="15" t="str">
        <x:v>Anselmo Martínez Ruiz</x:v>
      </x:c>
      <x:c r="C16" s="15" t="str"/>
      <x:c r="D16" s="15" t="str">
        <x:v>NO LOCALIZADO EN FUENTES ABIERTAS</x:v>
      </x:c>
      <x:c r="E16" s="15" t="str">
        <x:v>Búsqueda/revisión sin coincidencia fiable</x:v>
      </x:c>
      <x:c r="F16" s="15" t="str"/>
      <x:c r="G16" s="15" t="str">
        <x:v>NO LOCALIZADO EN FUENTES ABIERTAS</x:v>
      </x:c>
      <x:c r="H16" s="15" t="str">
        <x:v>Búsqueda/revisión sin coincidencia fiable</x:v>
      </x:c>
      <x:c r="I16" s="15" t="str">
        <x:v>No se ha hallado un lugar fiable para nacimiento ni defunción en las fuentes abiertas revisadas.</x:v>
      </x:c>
      <x:c r="J16" s="15" t="str">
        <x:v>Archivo parroquial / Registro Civil</x:v>
      </x:c>
    </x:row>
    <x:row r="17">
      <x:c r="A17" s="15" t="n">
        <x:v>16</x:v>
      </x:c>
      <x:c r="B17" s="15" t="str">
        <x:v>Felisa Martínez (hija de Anselmo)</x:v>
      </x:c>
      <x:c r="C17" s="15" t="str"/>
      <x:c r="D17" s="15" t="str">
        <x:v>NO LOCALIZADO EN FUENTES ABIERTAS</x:v>
      </x:c>
      <x:c r="E17" s="15" t="str">
        <x:v>Búsqueda/revisión sin coincidencia fiable</x:v>
      </x:c>
      <x:c r="F17" s="15" t="str"/>
      <x:c r="G17" s="15" t="str">
        <x:v>NO LOCALIZADO EN FUENTES ABIERTAS</x:v>
      </x:c>
      <x:c r="H17" s="15" t="str">
        <x:v>Búsqueda/revisión sin coincidencia fiable</x:v>
      </x:c>
      <x:c r="I17" s="15" t="str">
        <x:v>No se ha hallado un lugar fiable para nacimiento ni defunción en las fuentes abiertas revisadas.</x:v>
      </x:c>
      <x:c r="J17" s="15" t="str">
        <x:v>Archivo parroquial / Registro Civil</x:v>
      </x:c>
    </x:row>
    <x:row r="18">
      <x:c r="A18" s="15" t="n">
        <x:v>17</x:v>
      </x:c>
      <x:c r="B18" s="15" t="str">
        <x:v>Martínez [nombre ilegible/XXXX]</x:v>
      </x:c>
      <x:c r="C18" s="15" t="str"/>
      <x:c r="D18" s="15" t="str">
        <x:v>NO LOCALIZADO EN FUENTES ABIERTAS</x:v>
      </x:c>
      <x:c r="E18" s="15" t="str">
        <x:v>Búsqueda/revisión sin coincidencia fiable</x:v>
      </x:c>
      <x:c r="F18" s="15" t="str"/>
      <x:c r="G18" s="15" t="str">
        <x:v>NO LOCALIZADO EN FUENTES ABIERTAS</x:v>
      </x:c>
      <x:c r="H18" s="15" t="str">
        <x:v>Búsqueda/revisión sin coincidencia fiable</x:v>
      </x:c>
      <x:c r="I18" s="15" t="str">
        <x:v>No se ha hallado un lugar fiable para nacimiento ni defunción en las fuentes abiertas revisadas.</x:v>
      </x:c>
      <x:c r="J18" s="15" t="str">
        <x:v>Revisar Excel original antes de buscar</x:v>
      </x:c>
    </x:row>
    <x:row r="19">
      <x:c r="A19" s="15" t="n">
        <x:v>18</x:v>
      </x:c>
      <x:c r="B19" s="15" t="str">
        <x:v>Alejandro Martínez</x:v>
      </x:c>
      <x:c r="C19" s="15" t="str"/>
      <x:c r="D19" s="15" t="str">
        <x:v>NO LOCALIZADO EN FUENTES ABIERTAS</x:v>
      </x:c>
      <x:c r="E19" s="15" t="str">
        <x:v>Búsqueda/revisión sin coincidencia fiable</x:v>
      </x:c>
      <x:c r="F19" s="15" t="str"/>
      <x:c r="G19" s="15" t="str">
        <x:v>NO LOCALIZADO EN FUENTES ABIERTAS</x:v>
      </x:c>
      <x:c r="H19" s="15" t="str">
        <x:v>Búsqueda/revisión sin coincidencia fiable</x:v>
      </x:c>
      <x:c r="I19" s="15" t="str">
        <x:v>No se ha hallado un lugar fiable para nacimiento ni defunción en las fuentes abiertas revisadas.</x:v>
      </x:c>
      <x:c r="J19" s="15" t="str">
        <x:v>Registro Civil / parroquia de Avilés</x:v>
      </x:c>
    </x:row>
    <x:row r="20">
      <x:c r="A20" s="15" t="n">
        <x:v>19</x:v>
      </x:c>
      <x:c r="B20" s="15" t="str">
        <x:v>Clemente Martínez Estébanez</x:v>
      </x:c>
      <x:c r="C20" s="15" t="str">
        <x:v>San Cristóbal (vecino; no necesariamente nacido allí)</x:v>
      </x:c>
      <x:c r="D20" s="15" t="str">
        <x:v>LOCALIZADO / YA EN EXCEL</x:v>
      </x:c>
      <x:c r="E20" s="15" t="str">
        <x:v>https://iglesiadeasturias.org/archivo-historico/</x:v>
      </x:c>
      <x:c r="F20" s="15" t="str"/>
      <x:c r="G20" s="15" t="str">
        <x:v>NO LOCALIZADO EN FUENTES ABIERTAS</x:v>
      </x:c>
      <x:c r="H20" s="15" t="str">
        <x:v>Búsqueda/revisión sin coincidencia fiable</x:v>
      </x:c>
      <x:c r="I20" s="15" t="str">
        <x:v>Lugar de nacimiento localizado; lugar de defunción no hallado con suficiente fiabilidad.</x:v>
      </x:c>
      <x:c r="J20" s="15" t="str">
        <x:v>Registro Civil de Avilés + parroquia de San Cristóbal</x:v>
      </x:c>
    </x:row>
    <x:row r="21">
      <x:c r="A21" s="15" t="n">
        <x:v>20</x:v>
      </x:c>
      <x:c r="B21" s="15" t="str">
        <x:v>Pedro Martínez Estébanez</x:v>
      </x:c>
      <x:c r="C21" s="15" t="str"/>
      <x:c r="D21" s="15" t="str">
        <x:v>NO LOCALIZADO EN FUENTES ABIERTAS</x:v>
      </x:c>
      <x:c r="E21" s="15" t="str">
        <x:v>Búsqueda/revisión sin coincidencia fiable</x:v>
      </x:c>
      <x:c r="F21" s="15" t="str"/>
      <x:c r="G21" s="15" t="str">
        <x:v>NO LOCALIZADO EN FUENTES ABIERTAS</x:v>
      </x:c>
      <x:c r="H21" s="15" t="str">
        <x:v>Búsqueda/revisión sin coincidencia fiable</x:v>
      </x:c>
      <x:c r="I21" s="15" t="str">
        <x:v>No se ha hallado un lugar fiable para nacimiento ni defunción en las fuentes abiertas revisadas.</x:v>
      </x:c>
      <x:c r="J21" s="15" t="str">
        <x:v>Archivo parroquial de San Cristóbal / AHDO</x:v>
      </x:c>
    </x:row>
    <x:row r="22">
      <x:c r="A22" s="15" t="n">
        <x:v>21</x:v>
      </x:c>
      <x:c r="B22" s="15" t="str">
        <x:v>Lorenzo Martínez Estébanez</x:v>
      </x:c>
      <x:c r="C22" s="15" t="str"/>
      <x:c r="D22" s="15" t="str">
        <x:v>NO LOCALIZADO EN FUENTES ABIERTAS</x:v>
      </x:c>
      <x:c r="E22" s="15" t="str">
        <x:v>Búsqueda/revisión sin coincidencia fiable</x:v>
      </x:c>
      <x:c r="F22" s="15" t="str"/>
      <x:c r="G22" s="15" t="str">
        <x:v>NO LOCALIZADO EN FUENTES ABIERTAS</x:v>
      </x:c>
      <x:c r="H22" s="15" t="str">
        <x:v>Búsqueda/revisión sin coincidencia fiable</x:v>
      </x:c>
      <x:c r="I22" s="15" t="str">
        <x:v>No se ha hallado un lugar fiable para nacimiento ni defunción en las fuentes abiertas revisadas.</x:v>
      </x:c>
      <x:c r="J22" s="15" t="str">
        <x:v>Archivo parroquial de San Cristóbal / AHDO</x:v>
      </x:c>
    </x:row>
    <x:row r="23">
      <x:c r="A23" s="15" t="n">
        <x:v>22</x:v>
      </x:c>
      <x:c r="B23" s="15" t="str">
        <x:v>Juan Martínez Estébanez</x:v>
      </x:c>
      <x:c r="C23" s="15" t="str"/>
      <x:c r="D23" s="15" t="str">
        <x:v>NO LOCALIZADO EN FUENTES ABIERTAS</x:v>
      </x:c>
      <x:c r="E23" s="15" t="str">
        <x:v>Búsqueda/revisión sin coincidencia fiable</x:v>
      </x:c>
      <x:c r="F23" s="15" t="str"/>
      <x:c r="G23" s="15" t="str">
        <x:v>NO LOCALIZADO EN FUENTES ABIERTAS</x:v>
      </x:c>
      <x:c r="H23" s="15" t="str">
        <x:v>Búsqueda/revisión sin coincidencia fiable</x:v>
      </x:c>
      <x:c r="I23" s="15" t="str">
        <x:v>No se ha hallado un lugar fiable para nacimiento ni defunción en las fuentes abiertas revisadas.</x:v>
      </x:c>
      <x:c r="J23" s="15" t="str">
        <x:v>Archivo parroquial de San Cristóbal / padrones</x:v>
      </x:c>
    </x:row>
    <x:row r="24">
      <x:c r="A24" s="15" t="n">
        <x:v>23</x:v>
      </x:c>
      <x:c r="B24" s="15" t="str">
        <x:v>Manuela Ruiz Gutiérrez</x:v>
      </x:c>
      <x:c r="C24" s="15" t="str">
        <x:v>San Cristóbal (vecina; no necesariamente nacida allí)</x:v>
      </x:c>
      <x:c r="D24" s="15" t="str">
        <x:v>LOCALIZADO / YA EN EXCEL</x:v>
      </x:c>
      <x:c r="E24" s="15" t="str">
        <x:v>https://iglesiadeasturias.org/archivo-historico/</x:v>
      </x:c>
      <x:c r="F24" s="15" t="str"/>
      <x:c r="G24" s="15" t="str">
        <x:v>NO LOCALIZADO EN FUENTES ABIERTAS</x:v>
      </x:c>
      <x:c r="H24" s="15" t="str">
        <x:v>Búsqueda/revisión sin coincidencia fiable</x:v>
      </x:c>
      <x:c r="I24" s="15" t="str">
        <x:v>Lugar de nacimiento localizado; lugar de defunción no hallado con suficiente fiabilidad.</x:v>
      </x:c>
      <x:c r="J24" s="15" t="str">
        <x:v>Registro Civil de Avilés + parroquia de San Cristóbal</x:v>
      </x:c>
    </x:row>
    <x:row r="25">
      <x:c r="A25" s="15" t="n">
        <x:v>24</x:v>
      </x:c>
      <x:c r="B25" s="15" t="str">
        <x:v>Gil Martínez Brabo</x:v>
      </x:c>
      <x:c r="C25" s="15" t="str"/>
      <x:c r="D25" s="15" t="str">
        <x:v>NO LOCALIZADO EN FUENTES ABIERTAS</x:v>
      </x:c>
      <x:c r="E25" s="15" t="str">
        <x:v>Búsqueda/revisión sin coincidencia fiable</x:v>
      </x:c>
      <x:c r="F25" s="15" t="str"/>
      <x:c r="G25" s="15" t="str">
        <x:v>NO LOCALIZADO EN FUENTES ABIERTAS</x:v>
      </x:c>
      <x:c r="H25" s="15" t="str">
        <x:v>Búsqueda/revisión sin coincidencia fiable</x:v>
      </x:c>
      <x:c r="I25" s="15" t="str">
        <x:v>No se ha hallado un lugar fiable para nacimiento ni defunción en las fuentes abiertas revisadas.</x:v>
      </x:c>
      <x:c r="J25" s="15" t="str">
        <x:v>Archivo Histórico Diocesano de Oviedo</x:v>
      </x:c>
    </x:row>
    <x:row r="26">
      <x:c r="A26" s="15" t="n">
        <x:v>25</x:v>
      </x:c>
      <x:c r="B26" s="15" t="str">
        <x:v>Gregoria Estébanez Mata</x:v>
      </x:c>
      <x:c r="C26" s="15" t="str"/>
      <x:c r="D26" s="15" t="str">
        <x:v>NO LOCALIZADO EN FUENTES ABIERTAS</x:v>
      </x:c>
      <x:c r="E26" s="15" t="str">
        <x:v>Búsqueda/revisión sin coincidencia fiable</x:v>
      </x:c>
      <x:c r="F26" s="15" t="str"/>
      <x:c r="G26" s="15" t="str">
        <x:v>NO LOCALIZADO EN FUENTES ABIERTAS</x:v>
      </x:c>
      <x:c r="H26" s="15" t="str">
        <x:v>Búsqueda/revisión sin coincidencia fiable</x:v>
      </x:c>
      <x:c r="I26" s="15" t="str">
        <x:v>No se ha hallado un lugar fiable para nacimiento ni defunción en las fuentes abiertas revisadas.</x:v>
      </x:c>
      <x:c r="J26" s="15" t="str">
        <x:v>Archivo Histórico Diocesano de Oviedo</x:v>
      </x:c>
    </x:row>
    <x:row r="27">
      <x:c r="A27" s="15" t="n">
        <x:v>26</x:v>
      </x:c>
      <x:c r="B27" s="15" t="str">
        <x:v>Lucía Gutiérrez Estébanez</x:v>
      </x:c>
      <x:c r="C27" s="15" t="str"/>
      <x:c r="D27" s="15" t="str">
        <x:v>NO LOCALIZADO EN FUENTES ABIERTAS</x:v>
      </x:c>
      <x:c r="E27" s="15" t="str">
        <x:v>Búsqueda/revisión sin coincidencia fiable</x:v>
      </x:c>
      <x:c r="F27" s="15" t="str"/>
      <x:c r="G27" s="15" t="str">
        <x:v>NO LOCALIZADO EN FUENTES ABIERTAS</x:v>
      </x:c>
      <x:c r="H27" s="15" t="str">
        <x:v>Búsqueda/revisión sin coincidencia fiable</x:v>
      </x:c>
      <x:c r="I27" s="15" t="str">
        <x:v>No se ha hallado un lugar fiable para nacimiento ni defunción en las fuentes abiertas revisadas.</x:v>
      </x:c>
      <x:c r="J27" s="15" t="str">
        <x:v>Archivo Histórico Diocesano de Oviedo</x:v>
      </x:c>
    </x:row>
    <x:row r="28">
      <x:c r="A28" s="15" t="n">
        <x:v>27</x:v>
      </x:c>
      <x:c r="B28" s="15" t="str">
        <x:v>María Brabo</x:v>
      </x:c>
      <x:c r="C28" s="15" t="str"/>
      <x:c r="D28" s="15" t="str">
        <x:v>NO LOCALIZADO EN FUENTES ABIERTAS</x:v>
      </x:c>
      <x:c r="E28" s="15" t="str">
        <x:v>Búsqueda/revisión sin coincidencia fiable</x:v>
      </x:c>
      <x:c r="F28" s="15" t="str"/>
      <x:c r="G28" s="15" t="str">
        <x:v>NO LOCALIZADO EN FUENTES ABIERTAS</x:v>
      </x:c>
      <x:c r="H28" s="15" t="str">
        <x:v>Búsqueda/revisión sin coincidencia fiable</x:v>
      </x:c>
      <x:c r="I28" s="15" t="str">
        <x:v>No se ha hallado un lugar fiable para nacimiento ni defunción en las fuentes abiertas revisadas.</x:v>
      </x:c>
      <x:c r="J28" s="15" t="str">
        <x:v>Archivo Histórico Diocesano de Oviedo</x:v>
      </x:c>
    </x:row>
    <x:row r="29">
      <x:c r="A29" s="15" t="n">
        <x:v>28</x:v>
      </x:c>
      <x:c r="B29" s="15" t="str">
        <x:v>Juan Estébanez</x:v>
      </x:c>
      <x:c r="C29" s="15" t="str"/>
      <x:c r="D29" s="15" t="str">
        <x:v>NO LOCALIZADO EN FUENTES ABIERTAS</x:v>
      </x:c>
      <x:c r="E29" s="15" t="str">
        <x:v>Búsqueda/revisión sin coincidencia fiable</x:v>
      </x:c>
      <x:c r="F29" s="15" t="str"/>
      <x:c r="G29" s="15" t="str">
        <x:v>NO LOCALIZADO EN FUENTES ABIERTAS</x:v>
      </x:c>
      <x:c r="H29" s="15" t="str">
        <x:v>Búsqueda/revisión sin coincidencia fiable</x:v>
      </x:c>
      <x:c r="I29" s="15" t="str">
        <x:v>No se ha hallado un lugar fiable para nacimiento ni defunción en las fuentes abiertas revisadas.</x:v>
      </x:c>
      <x:c r="J29" s="15" t="str">
        <x:v>Archivo Histórico Diocesano de Oviedo</x:v>
      </x:c>
    </x:row>
    <x:row r="30">
      <x:c r="A30" s="15" t="n">
        <x:v>29</x:v>
      </x:c>
      <x:c r="B30" s="15" t="str">
        <x:v>Agustina Mata</x:v>
      </x:c>
      <x:c r="C30" s="15" t="str"/>
      <x:c r="D30" s="15" t="str">
        <x:v>NO LOCALIZADO EN FUENTES ABIERTAS</x:v>
      </x:c>
      <x:c r="E30" s="15" t="str">
        <x:v>Búsqueda/revisión sin coincidencia fiable</x:v>
      </x:c>
      <x:c r="F30" s="15" t="str"/>
      <x:c r="G30" s="15" t="str">
        <x:v>NO LOCALIZADO EN FUENTES ABIERTAS</x:v>
      </x:c>
      <x:c r="H30" s="15" t="str">
        <x:v>Búsqueda/revisión sin coincidencia fiable</x:v>
      </x:c>
      <x:c r="I30" s="15" t="str">
        <x:v>No se ha hallado un lugar fiable para nacimiento ni defunción en las fuentes abiertas revisadas.</x:v>
      </x:c>
      <x:c r="J30" s="15" t="str">
        <x:v>Archivo Histórico Diocesano de Oviedo</x:v>
      </x:c>
    </x:row>
    <x:row r="31">
      <x:c r="A31" s="15" t="n">
        <x:v>30</x:v>
      </x:c>
      <x:c r="B31" s="15" t="str">
        <x:v>Valentín Mata</x:v>
      </x:c>
      <x:c r="C31" s="15" t="str"/>
      <x:c r="D31" s="15" t="str">
        <x:v>NO LOCALIZADO EN FUENTES ABIERTAS</x:v>
      </x:c>
      <x:c r="E31" s="15" t="str">
        <x:v>Búsqueda/revisión sin coincidencia fiable</x:v>
      </x:c>
      <x:c r="F31" s="15" t="str"/>
      <x:c r="G31" s="15" t="str">
        <x:v>NO LOCALIZADO EN FUENTES ABIERTAS</x:v>
      </x:c>
      <x:c r="H31" s="15" t="str">
        <x:v>Búsqueda/revisión sin coincidencia fiable</x:v>
      </x:c>
      <x:c r="I31" s="15" t="str">
        <x:v>No se ha hallado un lugar fiable para nacimiento ni defunción en las fuentes abiertas revisadas.</x:v>
      </x:c>
      <x:c r="J31" s="15" t="str">
        <x:v>Archivo Histórico Diocesano de Oviedo</x:v>
      </x:c>
    </x:row>
    <x:row r="32">
      <x:c r="A32" s="15" t="n">
        <x:v>31</x:v>
      </x:c>
      <x:c r="B32" s="15" t="str">
        <x:v>Lilia García García</x:v>
      </x:c>
      <x:c r="C32" s="15" t="str">
        <x:v>Avilés (según captura)</x:v>
      </x:c>
      <x:c r="D32" s="15" t="str">
        <x:v>LOCALIZADO / YA EN EXCEL</x:v>
      </x:c>
      <x:c r="E32" s="15" t="str">
        <x:v>Dato previo del árbol</x:v>
      </x:c>
      <x:c r="F32" s="15" t="str"/>
      <x:c r="G32" s="15" t="str">
        <x:v>NO INVESTIGADO – posible persona viva/identidad insuficiente</x:v>
      </x:c>
      <x:c r="H32" s="15" t="str">
        <x:v>Búsqueda/revisión sin coincidencia fiable</x:v>
      </x:c>
      <x:c r="I32" s="15" t="str">
        <x:v>Lugar de nacimiento localizado; lugar de defunción no hallado con suficiente fiabilidad.</x:v>
      </x:c>
      <x:c r="J32" s="15" t="str">
        <x:v>Registro Civil de Avilés / hemeroteca de esquelas</x:v>
      </x:c>
    </x:row>
    <x:row r="33">
      <x:c r="A33" s="15" t="n">
        <x:v>32</x:v>
      </x:c>
      <x:c r="B33" s="15" t="str">
        <x:v>Nicolás García</x:v>
      </x:c>
      <x:c r="C33" s="15" t="str">
        <x:v>Becerril del Carpio (vecino; según captura)</x:v>
      </x:c>
      <x:c r="D33" s="15" t="str">
        <x:v>LOCALIZADO / YA EN EXCEL</x:v>
      </x:c>
      <x:c r="E33" s="15" t="str">
        <x:v>https://censoarchivos.cultura.gob.es/CensoGuia/archivodetail.htm?id=57797</x:v>
      </x:c>
      <x:c r="F33" s="15" t="str"/>
      <x:c r="G33" s="15" t="str">
        <x:v>NO INVESTIGADO – posible persona viva/identidad insuficiente</x:v>
      </x:c>
      <x:c r="H33" s="15" t="str">
        <x:v>Búsqueda/revisión sin coincidencia fiable</x:v>
      </x:c>
      <x:c r="I33" s="15" t="str">
        <x:v>Lugar de nacimiento localizado; lugar de defunción no hallado con suficiente fiabilidad.</x:v>
      </x:c>
      <x:c r="J33" s="15" t="str">
        <x:v>Archivo Diocesano de Palencia, Santa María/San Pedro de Becerril del Carpio</x:v>
      </x:c>
    </x:row>
    <x:row r="34">
      <x:c r="A34" s="15" t="n">
        <x:v>33</x:v>
      </x:c>
      <x:c r="B34" s="15" t="str">
        <x:v>Andrea García</x:v>
      </x:c>
      <x:c r="C34" s="15" t="str">
        <x:v>Becerril del Carpio (vecina; según captura)</x:v>
      </x:c>
      <x:c r="D34" s="15" t="str">
        <x:v>LOCALIZADO / YA EN EXCEL</x:v>
      </x:c>
      <x:c r="E34" s="15" t="str">
        <x:v>https://censoarchivos.cultura.gob.es/CensoGuia/archivodetail.htm?id=57797</x:v>
      </x:c>
      <x:c r="F34" s="15" t="str"/>
      <x:c r="G34" s="15" t="str">
        <x:v>NO INVESTIGADO – posible persona viva/identidad insuficiente</x:v>
      </x:c>
      <x:c r="H34" s="15" t="str">
        <x:v>Búsqueda/revisión sin coincidencia fiable</x:v>
      </x:c>
      <x:c r="I34" s="15" t="str">
        <x:v>Lugar de nacimiento localizado; lugar de defunción no hallado con suficiente fiabilidad.</x:v>
      </x:c>
      <x:c r="J34" s="15" t="str">
        <x:v>Archivo Diocesano de Palencia</x:v>
      </x:c>
    </x:row>
    <x:row r="35">
      <x:c r="A35" s="15" t="n">
        <x:v>34</x:v>
      </x:c>
      <x:c r="B35" s="15" t="str">
        <x:v>Manuel Pérez Martínez</x:v>
      </x:c>
      <x:c r="C35" s="15" t="str"/>
      <x:c r="D35" s="15" t="str">
        <x:v>NO LOCALIZADO EN FUENTES ABIERTAS</x:v>
      </x:c>
      <x:c r="E35" s="15" t="str">
        <x:v>Búsqueda/revisión sin coincidencia fiable</x:v>
      </x:c>
      <x:c r="F35" s="15" t="str"/>
      <x:c r="G35" s="15" t="str">
        <x:v>NO LOCALIZADO EN FUENTES ABIERTAS</x:v>
      </x:c>
      <x:c r="H35" s="15" t="str">
        <x:v>Búsqueda/revisión sin coincidencia fiable</x:v>
      </x:c>
      <x:c r="I35" s="15" t="str">
        <x:v>No se ha hallado un lugar fiable para nacimiento ni defunción en las fuentes abiertas revisadas.</x:v>
      </x:c>
      <x:c r="J35" s="15" t="str">
        <x:v>Parroquia/Registro Civil de la rama Navia-Talarén</x:v>
      </x:c>
    </x:row>
    <x:row r="36">
      <x:c r="A36" s="15" t="n">
        <x:v>35</x:v>
      </x:c>
      <x:c r="B36" s="15" t="str">
        <x:v>Josefa González Fernández</x:v>
      </x:c>
      <x:c r="C36" s="15" t="str"/>
      <x:c r="D36" s="15" t="str">
        <x:v>NO LOCALIZADO EN FUENTES ABIERTAS</x:v>
      </x:c>
      <x:c r="E36" s="15" t="str">
        <x:v>Búsqueda/revisión sin coincidencia fiable</x:v>
      </x:c>
      <x:c r="F36" s="15" t="str"/>
      <x:c r="G36" s="15" t="str">
        <x:v>NO LOCALIZADO EN FUENTES ABIERTAS</x:v>
      </x:c>
      <x:c r="H36" s="15" t="str">
        <x:v>Búsqueda/revisión sin coincidencia fiable</x:v>
      </x:c>
      <x:c r="I36" s="15" t="str">
        <x:v>No se ha hallado un lugar fiable para nacimiento ni defunción en las fuentes abiertas revisadas.</x:v>
      </x:c>
      <x:c r="J36" s="15" t="str">
        <x:v>Parroquia/Registro Civil de la rama Navia-Talarén</x:v>
      </x:c>
    </x:row>
    <x:row r="37">
      <x:c r="A37" s="15" t="n">
        <x:v>36</x:v>
      </x:c>
      <x:c r="B37" s="15" t="str">
        <x:v>Ramiro Pérez González</x:v>
      </x:c>
      <x:c r="C37" s="15" t="str">
        <x:v>Tox–Cabanella (Navia; según captura)</x:v>
      </x:c>
      <x:c r="D37" s="15" t="str">
        <x:v>LOCALIZADO / YA EN EXCEL</x:v>
      </x:c>
      <x:c r="E37" s="15" t="str">
        <x:v>https://www.ayto-navia.es/parroquias</x:v>
      </x:c>
      <x:c r="F37" s="15" t="str"/>
      <x:c r="G37" s="15" t="str">
        <x:v>NO LOCALIZADO EN FUENTES ABIERTAS</x:v>
      </x:c>
      <x:c r="H37" s="15" t="str">
        <x:v>Búsqueda/revisión sin coincidencia fiable</x:v>
      </x:c>
      <x:c r="I37" s="15" t="str">
        <x:v>Lugar de nacimiento localizado; lugar de defunción no hallado con suficiente fiabilidad.</x:v>
      </x:c>
      <x:c r="J37" s="15" t="str">
        <x:v>Registro Civil de Navia + parroquias de San Antolín de Villanueva / Santiago de Villapedre</x:v>
      </x:c>
    </x:row>
    <x:row r="38">
      <x:c r="A38" s="15" t="n">
        <x:v>37</x:v>
      </x:c>
      <x:c r="B38" s="15" t="str">
        <x:v>Edelmira Pérez Sánchez</x:v>
      </x:c>
      <x:c r="C38" s="15" t="str">
        <x:v>Talarén (Navia)</x:v>
      </x:c>
      <x:c r="D38" s="15" t="str">
        <x:v>LOCALIZADO / YA EN EXCEL</x:v>
      </x:c>
      <x:c r="E38" s="15" t="str">
        <x:v>https://www.ayto-navia.es/parroquias</x:v>
      </x:c>
      <x:c r="F38" s="15" t="str">
        <x:v>Avilés (según captura)</x:v>
      </x:c>
      <x:c r="G38" s="15" t="str">
        <x:v>LOCALIZADO / YA EN EXCEL</x:v>
      </x:c>
      <x:c r="H38" s="15" t="str">
        <x:v>https://www.ayto-navia.es/parroquias</x:v>
      </x:c>
      <x:c r="I38" s="15" t="str">
        <x:v>Constan ambos lugares en el Excel tras la revisión.</x:v>
      </x:c>
      <x:c r="J38" s="15" t="str">
        <x:v>Registro Civil de Navia/Avilés + San Antolín de Villanueva</x:v>
      </x:c>
    </x:row>
    <x:row r="39">
      <x:c r="A39" s="15" t="n">
        <x:v>38</x:v>
      </x:c>
      <x:c r="B39" s="15" t="str">
        <x:v>Caridad Sánchez González</x:v>
      </x:c>
      <x:c r="C39" s="15" t="str">
        <x:v>Talarén–Cabanella (Navia; según captura)</x:v>
      </x:c>
      <x:c r="D39" s="15" t="str">
        <x:v>LOCALIZADO / YA EN EXCEL</x:v>
      </x:c>
      <x:c r="E39" s="15" t="str">
        <x:v>https://www.ayto-navia.es/parroquias</x:v>
      </x:c>
      <x:c r="F39" s="15" t="str"/>
      <x:c r="G39" s="15" t="str">
        <x:v>NO LOCALIZADO EN FUENTES ABIERTAS</x:v>
      </x:c>
      <x:c r="H39" s="15" t="str">
        <x:v>Búsqueda/revisión sin coincidencia fiable</x:v>
      </x:c>
      <x:c r="I39" s="15" t="str">
        <x:v>Lugar de nacimiento localizado; lugar de defunción no hallado con suficiente fiabilidad.</x:v>
      </x:c>
      <x:c r="J39" s="15" t="str">
        <x:v>Archivo Histórico Diocesano de Oviedo / San Antolín de Villanueva + Registro Civil</x:v>
      </x:c>
    </x:row>
    <x:row r="40">
      <x:c r="A40" s="15" t="n">
        <x:v>39</x:v>
      </x:c>
      <x:c r="B40" s="15" t="str">
        <x:v>José Luis? Sánchez de Ron González</x:v>
      </x:c>
      <x:c r="C40" s="15" t="str">
        <x:v>Meiro (Coaña)</x:v>
      </x:c>
      <x:c r="D40" s="15" t="str">
        <x:v>LOCALIZADO / YA EN EXCEL</x:v>
      </x:c>
      <x:c r="E40" s="15" t="str">
        <x:v>https://mail.ayuntamientodecoana.com/en/index.php?M1=10&amp;M2=82</x:v>
      </x:c>
      <x:c r="F40" s="15" t="str"/>
      <x:c r="G40" s="15" t="str">
        <x:v>NO LOCALIZADO EN FUENTES ABIERTAS</x:v>
      </x:c>
      <x:c r="H40" s="15" t="str">
        <x:v>Búsqueda/revisión sin coincidencia fiable</x:v>
      </x:c>
      <x:c r="I40" s="15" t="str">
        <x:v>Lugar de nacimiento localizado; lugar de defunción no hallado con suficiente fiabilidad.</x:v>
      </x:c>
      <x:c r="J40" s="15" t="str">
        <x:v>Parroquia de Santiago de Folgueras / Archivo Histórico Diocesano de Oviedo</x:v>
      </x:c>
    </x:row>
    <x:row r="41">
      <x:c r="A41" s="15" t="n">
        <x:v>40</x:v>
      </x:c>
      <x:c r="B41" s="15" t="str">
        <x:v>Ramón Sánchez de Ron González (¿García?)</x:v>
      </x:c>
      <x:c r="C41" s="15" t="str">
        <x:v>Meiro (Coaña)</x:v>
      </x:c>
      <x:c r="D41" s="15" t="str">
        <x:v>LOCALIZADO / YA EN EXCEL</x:v>
      </x:c>
      <x:c r="E41" s="15" t="str">
        <x:v>https://mail.ayuntamientodecoana.com/en/index.php?M1=10&amp;M2=82</x:v>
      </x:c>
      <x:c r="F41" s="15" t="str"/>
      <x:c r="G41" s="15" t="str">
        <x:v>NO LOCALIZADO EN FUENTES ABIERTAS</x:v>
      </x:c>
      <x:c r="H41" s="15" t="str">
        <x:v>Búsqueda/revisión sin coincidencia fiable</x:v>
      </x:c>
      <x:c r="I41" s="15" t="str">
        <x:v>Lugar de nacimiento localizado; lugar de defunción no hallado con suficiente fiabilidad.</x:v>
      </x:c>
      <x:c r="J41" s="15" t="str">
        <x:v>Santiago de Folgueras + Registro Civil/archivo diocesano</x:v>
      </x:c>
    </x:row>
    <x:row r="42">
      <x:c r="A42" s="15" t="n">
        <x:v>41</x:v>
      </x:c>
      <x:c r="B42" s="15" t="str">
        <x:v>Manuel José Antonio Sánchez de Ron Menéndez-Trelles</x:v>
      </x:c>
      <x:c r="C42" s="15" t="str">
        <x:v>Meiro (Coaña)</x:v>
      </x:c>
      <x:c r="D42" s="15" t="str">
        <x:v>LOCALIZADO / YA EN EXCEL</x:v>
      </x:c>
      <x:c r="E42" s="15" t="str">
        <x:v>https://mail.ayuntamientodecoana.com/en/index.php?M1=10&amp;M2=82</x:v>
      </x:c>
      <x:c r="F42" s="15" t="str"/>
      <x:c r="G42" s="15" t="str">
        <x:v>NO LOCALIZADO EN FUENTES ABIERTAS</x:v>
      </x:c>
      <x:c r="H42" s="15" t="str">
        <x:v>Búsqueda/revisión sin coincidencia fiable</x:v>
      </x:c>
      <x:c r="I42" s="15" t="str">
        <x:v>Lugar de nacimiento localizado; lugar de defunción no hallado con suficiente fiabilidad.</x:v>
      </x:c>
      <x:c r="J42" s="15" t="str">
        <x:v>Libros sacramentales de Santiago de Folgueras / AHDO</x:v>
      </x:c>
    </x:row>
    <x:row r="43">
      <x:c r="A43" s="15" t="n">
        <x:v>42</x:v>
      </x:c>
      <x:c r="B43" s="15" t="str">
        <x:v>María Rosa González Gayo</x:v>
      </x:c>
      <x:c r="C43" s="15" t="str">
        <x:v>Meiro (¿Santiago-Valdés? según captura)</x:v>
      </x:c>
      <x:c r="D43" s="15" t="str">
        <x:v>LOCALIZADO / YA EN EXCEL</x:v>
      </x:c>
      <x:c r="E43" s="15" t="str">
        <x:v>https://mail.ayuntamientodecoana.com/en/index.php?M1=10&amp;M2=82</x:v>
      </x:c>
      <x:c r="F43" s="15" t="str"/>
      <x:c r="G43" s="15" t="str">
        <x:v>NO LOCALIZADO EN FUENTES ABIERTAS</x:v>
      </x:c>
      <x:c r="H43" s="15" t="str">
        <x:v>Búsqueda/revisión sin coincidencia fiable</x:v>
      </x:c>
      <x:c r="I43" s="15" t="str">
        <x:v>Lugar de nacimiento localizado; lugar de defunción no hallado con suficiente fiabilidad.</x:v>
      </x:c>
      <x:c r="J43" s="15" t="str">
        <x:v>Santiago de Folgueras / AHDO</x:v>
      </x:c>
    </x:row>
    <x:row r="44">
      <x:c r="A44" s="15" t="n">
        <x:v>43</x:v>
      </x:c>
      <x:c r="B44" s="15" t="str">
        <x:v>Juan González</x:v>
      </x:c>
      <x:c r="C44" s="15" t="str"/>
      <x:c r="D44" s="15" t="str">
        <x:v>NO LOCALIZADO EN FUENTES ABIERTAS</x:v>
      </x:c>
      <x:c r="E44" s="15" t="str">
        <x:v>Búsqueda/revisión sin coincidencia fiable</x:v>
      </x:c>
      <x:c r="F44" s="15" t="str"/>
      <x:c r="G44" s="15" t="str">
        <x:v>NO LOCALIZADO EN FUENTES ABIERTAS</x:v>
      </x:c>
      <x:c r="H44" s="15" t="str">
        <x:v>Búsqueda/revisión sin coincidencia fiable</x:v>
      </x:c>
      <x:c r="I44" s="15" t="str">
        <x:v>No se ha hallado un lugar fiable para nacimiento ni defunción en las fuentes abiertas revisadas.</x:v>
      </x:c>
      <x:c r="J44" s="15" t="str">
        <x:v>Archivo parroquial según generación y localidad</x:v>
      </x:c>
    </x:row>
    <x:row r="45">
      <x:c r="A45" s="15" t="n">
        <x:v>44</x:v>
      </x:c>
      <x:c r="B45" s="15" t="str">
        <x:v>Luisa González Suárez-Casadoira</x:v>
      </x:c>
      <x:c r="C45" s="15" t="str"/>
      <x:c r="D45" s="15" t="str">
        <x:v>NO LOCALIZADO EN FUENTES ABIERTAS</x:v>
      </x:c>
      <x:c r="E45" s="15" t="str">
        <x:v>Búsqueda/revisión sin coincidencia fiable</x:v>
      </x:c>
      <x:c r="F45" s="15" t="str"/>
      <x:c r="G45" s="15" t="str">
        <x:v>NO LOCALIZADO EN FUENTES ABIERTAS</x:v>
      </x:c>
      <x:c r="H45" s="15" t="str">
        <x:v>Búsqueda/revisión sin coincidencia fiable</x:v>
      </x:c>
      <x:c r="I45" s="15" t="str">
        <x:v>No se ha hallado un lugar fiable para nacimiento ni defunción en las fuentes abiertas revisadas.</x:v>
      </x:c>
      <x:c r="J45" s="15" t="str">
        <x:v>Archivo Histórico Diocesano de Oviedo</x:v>
      </x:c>
    </x:row>
    <x:row r="46">
      <x:c r="A46" s="15" t="n">
        <x:v>45</x:v>
      </x:c>
      <x:c r="B46" s="15" t="str">
        <x:v>Teresa de Jesús Eugenia Suárez-Casadoira García</x:v>
      </x:c>
      <x:c r="C46" s="15" t="str"/>
      <x:c r="D46" s="15" t="str">
        <x:v>NO LOCALIZADO EN FUENTES ABIERTAS</x:v>
      </x:c>
      <x:c r="E46" s="15" t="str">
        <x:v>Búsqueda/revisión sin coincidencia fiable</x:v>
      </x:c>
      <x:c r="F46" s="15" t="str"/>
      <x:c r="G46" s="15" t="str">
        <x:v>NO LOCALIZADO EN FUENTES ABIERTAS</x:v>
      </x:c>
      <x:c r="H46" s="15" t="str">
        <x:v>Búsqueda/revisión sin coincidencia fiable</x:v>
      </x:c>
      <x:c r="I46" s="15" t="str">
        <x:v>No se ha hallado un lugar fiable para nacimiento ni defunción en las fuentes abiertas revisadas.</x:v>
      </x:c>
      <x:c r="J46" s="15" t="str">
        <x:v>Archivo Histórico Diocesano de Oviedo</x:v>
      </x:c>
    </x:row>
    <x:row r="47">
      <x:c r="A47" s="15" t="n">
        <x:v>46</x:v>
      </x:c>
      <x:c r="B47" s="15" t="str">
        <x:v>Juan Suárez Casadoira</x:v>
      </x:c>
      <x:c r="C47" s="15" t="str"/>
      <x:c r="D47" s="15" t="str">
        <x:v>NO LOCALIZADO EN FUENTES ABIERTAS</x:v>
      </x:c>
      <x:c r="E47" s="15" t="str">
        <x:v>Búsqueda/revisión sin coincidencia fiable</x:v>
      </x:c>
      <x:c r="F47" s="15" t="str"/>
      <x:c r="G47" s="15" t="str">
        <x:v>NO LOCALIZADO EN FUENTES ABIERTAS</x:v>
      </x:c>
      <x:c r="H47" s="15" t="str">
        <x:v>Búsqueda/revisión sin coincidencia fiable</x:v>
      </x:c>
      <x:c r="I47" s="15" t="str">
        <x:v>No se ha hallado un lugar fiable para nacimiento ni defunción en las fuentes abiertas revisadas.</x:v>
      </x:c>
      <x:c r="J47" s="15" t="str">
        <x:v>Archivo Histórico Diocesano de Oviedo</x:v>
      </x:c>
    </x:row>
    <x:row r="48">
      <x:c r="A48" s="15" t="n">
        <x:v>47</x:v>
      </x:c>
      <x:c r="B48" s="15" t="str">
        <x:v>Luisa García</x:v>
      </x:c>
      <x:c r="C48" s="15" t="str"/>
      <x:c r="D48" s="15" t="str">
        <x:v>NO LOCALIZADO EN FUENTES ABIERTAS</x:v>
      </x:c>
      <x:c r="E48" s="15" t="str">
        <x:v>Búsqueda/revisión sin coincidencia fiable</x:v>
      </x:c>
      <x:c r="F48" s="15" t="str"/>
      <x:c r="G48" s="15" t="str">
        <x:v>NO LOCALIZADO EN FUENTES ABIERTAS</x:v>
      </x:c>
      <x:c r="H48" s="15" t="str">
        <x:v>Búsqueda/revisión sin coincidencia fiable</x:v>
      </x:c>
      <x:c r="I48" s="15" t="str">
        <x:v>No se ha hallado un lugar fiable para nacimiento ni defunción en las fuentes abiertas revisadas.</x:v>
      </x:c>
      <x:c r="J48" s="15" t="str">
        <x:v>Archivo Histórico Diocesano de Oviedo</x:v>
      </x:c>
    </x:row>
    <x:row r="49">
      <x:c r="A49" s="15" t="n">
        <x:v>48</x:v>
      </x:c>
      <x:c r="B49" s="15" t="str">
        <x:v>José Francisco Sánchez de Ron Miranda Villamil Trelles y Cantoira</x:v>
      </x:c>
      <x:c r="C49" s="15" t="str"/>
      <x:c r="D49" s="15" t="str">
        <x:v>NO LOCALIZADO EN FUENTES ABIERTAS</x:v>
      </x:c>
      <x:c r="E49" s="15" t="str">
        <x:v>Búsqueda/revisión sin coincidencia fiable</x:v>
      </x:c>
      <x:c r="F49" s="15" t="str"/>
      <x:c r="G49" s="15" t="str">
        <x:v>NO LOCALIZADO EN FUENTES ABIERTAS</x:v>
      </x:c>
      <x:c r="H49" s="15" t="str">
        <x:v>Búsqueda/revisión sin coincidencia fiable</x:v>
      </x:c>
      <x:c r="I49" s="15" t="str">
        <x:v>No se ha hallado un lugar fiable para nacimiento ni defunción en las fuentes abiertas revisadas.</x:v>
      </x:c>
      <x:c r="J49" s="15" t="str">
        <x:v>AHDO + protocolos/pleitos del occidente de Asturias</x:v>
      </x:c>
    </x:row>
    <x:row r="50">
      <x:c r="A50" s="15" t="n">
        <x:v>49</x:v>
      </x:c>
      <x:c r="B50" s="15" t="str">
        <x:v>Rosa Méndez-Trelles y González-Trelles</x:v>
      </x:c>
      <x:c r="C50" s="15" t="str"/>
      <x:c r="D50" s="15" t="str">
        <x:v>NO LOCALIZADO EN FUENTES ABIERTAS</x:v>
      </x:c>
      <x:c r="E50" s="15" t="str">
        <x:v>Búsqueda/revisión sin coincidencia fiable</x:v>
      </x:c>
      <x:c r="F50" s="15" t="str"/>
      <x:c r="G50" s="15" t="str">
        <x:v>NO LOCALIZADO EN FUENTES ABIERTAS</x:v>
      </x:c>
      <x:c r="H50" s="15" t="str">
        <x:v>Búsqueda/revisión sin coincidencia fiable</x:v>
      </x:c>
      <x:c r="I50" s="15" t="str">
        <x:v>No se ha hallado un lugar fiable para nacimiento ni defunción en las fuentes abiertas revisadas.</x:v>
      </x:c>
      <x:c r="J50" s="15" t="str">
        <x:v>Parroquias de Villacondide/Trelles/Folgueras + AHDO</x:v>
      </x:c>
    </x:row>
    <x:row r="51">
      <x:c r="A51" s="15" t="n">
        <x:v>50</x:v>
      </x:c>
      <x:c r="B51" s="15" t="str">
        <x:v>Diego Antonio Sánchez-Ron</x:v>
      </x:c>
      <x:c r="C51" s="15" t="str"/>
      <x:c r="D51" s="15" t="str">
        <x:v>NO LOCALIZADO EN FUENTES ABIERTAS</x:v>
      </x:c>
      <x:c r="E51" s="15" t="str">
        <x:v>Búsqueda/revisión sin coincidencia fiable</x:v>
      </x:c>
      <x:c r="F51" s="15" t="str"/>
      <x:c r="G51" s="15" t="str">
        <x:v>NO LOCALIZADO EN FUENTES ABIERTAS</x:v>
      </x:c>
      <x:c r="H51" s="15" t="str">
        <x:v>Búsqueda/revisión sin coincidencia fiable</x:v>
      </x:c>
      <x:c r="I51" s="15" t="str">
        <x:v>No se ha hallado un lugar fiable para nacimiento ni defunción en las fuentes abiertas revisadas.</x:v>
      </x:c>
      <x:c r="J51" s="15" t="str">
        <x:v>AHDO / PARES / parroquias de Coaña</x:v>
      </x:c>
    </x:row>
    <x:row r="52">
      <x:c r="A52" s="15" t="n">
        <x:v>51</x:v>
      </x:c>
      <x:c r="B52" s="15" t="str">
        <x:v>Felipa Díaz Casariego</x:v>
      </x:c>
      <x:c r="C52" s="15" t="str"/>
      <x:c r="D52" s="15" t="str">
        <x:v>NO LOCALIZADO EN FUENTES ABIERTAS</x:v>
      </x:c>
      <x:c r="E52" s="15" t="str">
        <x:v>Búsqueda/revisión sin coincidencia fiable</x:v>
      </x:c>
      <x:c r="F52" s="15" t="str"/>
      <x:c r="G52" s="15" t="str">
        <x:v>NO LOCALIZADO EN FUENTES ABIERTAS</x:v>
      </x:c>
      <x:c r="H52" s="15" t="str">
        <x:v>Búsqueda/revisión sin coincidencia fiable</x:v>
      </x:c>
      <x:c r="I52" s="15" t="str">
        <x:v>No se ha hallado un lugar fiable para nacimiento ni defunción en las fuentes abiertas revisadas.</x:v>
      </x:c>
      <x:c r="J52" s="15" t="str">
        <x:v>AHDO / parroquias de Coaña</x:v>
      </x:c>
    </x:row>
    <x:row r="53">
      <x:c r="A53" s="15" t="n">
        <x:v>52</x:v>
      </x:c>
      <x:c r="B53" s="15" t="str">
        <x:v>Pelayo Antonio Méndez Trelles y Morán</x:v>
      </x:c>
      <x:c r="C53" s="15" t="str"/>
      <x:c r="D53" s="15" t="str">
        <x:v>NO LOCALIZADO EN FUENTES ABIERTAS</x:v>
      </x:c>
      <x:c r="E53" s="15" t="str">
        <x:v>Búsqueda/revisión sin coincidencia fiable</x:v>
      </x:c>
      <x:c r="F53" s="15" t="str"/>
      <x:c r="G53" s="15" t="str">
        <x:v>NO LOCALIZADO EN FUENTES ABIERTAS</x:v>
      </x:c>
      <x:c r="H53" s="15" t="str">
        <x:v>Búsqueda/revisión sin coincidencia fiable</x:v>
      </x:c>
      <x:c r="I53" s="15" t="str">
        <x:v>No se ha hallado un lugar fiable para nacimiento ni defunción en las fuentes abiertas revisadas.</x:v>
      </x:c>
      <x:c r="J53" s="15" t="str">
        <x:v>San Cosme de Villacondide + expedientes de patronato citados por la tesis</x:v>
      </x:c>
    </x:row>
    <x:row r="54">
      <x:c r="A54" s="15" t="n">
        <x:v>53</x:v>
      </x:c>
      <x:c r="B54" s="15" t="str">
        <x:v>María Rosa González-Trelles</x:v>
      </x:c>
      <x:c r="C54" s="15" t="str"/>
      <x:c r="D54" s="15" t="str">
        <x:v>NO LOCALIZADO EN FUENTES ABIERTAS</x:v>
      </x:c>
      <x:c r="E54" s="15" t="str">
        <x:v>Búsqueda/revisión sin coincidencia fiable</x:v>
      </x:c>
      <x:c r="F54" s="15" t="str"/>
      <x:c r="G54" s="15" t="str">
        <x:v>NO LOCALIZADO EN FUENTES ABIERTAS</x:v>
      </x:c>
      <x:c r="H54" s="15" t="str">
        <x:v>Búsqueda/revisión sin coincidencia fiable</x:v>
      </x:c>
      <x:c r="I54" s="15" t="str">
        <x:v>No se ha hallado un lugar fiable para nacimiento ni defunción en las fuentes abiertas revisadas.</x:v>
      </x:c>
      <x:c r="J54" s="15" t="str">
        <x:v>Parroquias de Coaña / AHDO</x:v>
      </x:c>
    </x:row>
    <x:row r="55">
      <x:c r="A55" s="15" t="n">
        <x:v>54</x:v>
      </x:c>
      <x:c r="B55" s="15" t="str">
        <x:v>Diego Sánchez de Ron Miranda Villamil Trelles y Cantoira</x:v>
      </x:c>
      <x:c r="C55" s="15" t="str"/>
      <x:c r="D55" s="15" t="str">
        <x:v>NO LOCALIZADO EN FUENTES ABIERTAS</x:v>
      </x:c>
      <x:c r="E55" s="15" t="str">
        <x:v>Búsqueda/revisión sin coincidencia fiable</x:v>
      </x:c>
      <x:c r="F55" s="15" t="str"/>
      <x:c r="G55" s="15" t="str">
        <x:v>NO LOCALIZADO EN FUENTES ABIERTAS</x:v>
      </x:c>
      <x:c r="H55" s="15" t="str">
        <x:v>Búsqueda/revisión sin coincidencia fiable</x:v>
      </x:c>
      <x:c r="I55" s="15" t="str">
        <x:v>No se ha hallado un lugar fiable para nacimiento ni defunción en las fuentes abiertas revisadas.</x:v>
      </x:c>
      <x:c r="J55" s="15" t="str">
        <x:v>AHDO / PARES / parroquias de Coaña</x:v>
      </x:c>
    </x:row>
    <x:row r="56">
      <x:c r="A56" s="15" t="n">
        <x:v>55</x:v>
      </x:c>
      <x:c r="B56" s="15" t="str">
        <x:v>Ana Méndez-Infanzón Trelles</x:v>
      </x:c>
      <x:c r="C56" s="15" t="str"/>
      <x:c r="D56" s="15" t="str">
        <x:v>NO LOCALIZADO EN FUENTES ABIERTAS</x:v>
      </x:c>
      <x:c r="E56" s="15" t="str">
        <x:v>Búsqueda/revisión sin coincidencia fiable</x:v>
      </x:c>
      <x:c r="F56" s="15" t="str"/>
      <x:c r="G56" s="15" t="str">
        <x:v>NO LOCALIZADO EN FUENTES ABIERTAS</x:v>
      </x:c>
      <x:c r="H56" s="15" t="str">
        <x:v>Búsqueda/revisión sin coincidencia fiable</x:v>
      </x:c>
      <x:c r="I56" s="15" t="str">
        <x:v>No se ha hallado un lugar fiable para nacimiento ni defunción en las fuentes abiertas revisadas.</x:v>
      </x:c>
      <x:c r="J56" s="15" t="str">
        <x:v>Villacondide/Trelles/Villanueva + AHDO</x:v>
      </x:c>
    </x:row>
    <x:row r="57">
      <x:c r="A57" s="15" t="n">
        <x:v>56</x:v>
      </x:c>
      <x:c r="B57" s="15" t="str">
        <x:v>Salvador Sánchez de Ron y Rodil</x:v>
      </x:c>
      <x:c r="C57" s="15" t="str"/>
      <x:c r="D57" s="15" t="str">
        <x:v>NO LOCALIZADO EN FUENTES ABIERTAS</x:v>
      </x:c>
      <x:c r="E57" s="15" t="str">
        <x:v>Búsqueda/revisión sin coincidencia fiable</x:v>
      </x:c>
      <x:c r="F57" s="15" t="str"/>
      <x:c r="G57" s="15" t="str">
        <x:v>NO LOCALIZADO EN FUENTES ABIERTAS</x:v>
      </x:c>
      <x:c r="H57" s="15" t="str">
        <x:v>Búsqueda/revisión sin coincidencia fiable</x:v>
      </x:c>
      <x:c r="I57" s="15" t="str">
        <x:v>No se ha hallado un lugar fiable para nacimiento ni defunción en las fuentes abiertas revisadas.</x:v>
      </x:c>
      <x:c r="J57" s="15" t="str">
        <x:v>AHDO / PARES</x:v>
      </x:c>
    </x:row>
    <x:row r="58">
      <x:c r="A58" s="15" t="n">
        <x:v>57</x:v>
      </x:c>
      <x:c r="B58" s="15" t="str">
        <x:v>Dominga Díaz Lantoira Villamil</x:v>
      </x:c>
      <x:c r="C58" s="15" t="str"/>
      <x:c r="D58" s="15" t="str">
        <x:v>NO LOCALIZADO EN FUENTES ABIERTAS</x:v>
      </x:c>
      <x:c r="E58" s="15" t="str">
        <x:v>Búsqueda/revisión sin coincidencia fiable</x:v>
      </x:c>
      <x:c r="F58" s="15" t="str"/>
      <x:c r="G58" s="15" t="str">
        <x:v>NO LOCALIZADO EN FUENTES ABIERTAS</x:v>
      </x:c>
      <x:c r="H58" s="15" t="str">
        <x:v>Búsqueda/revisión sin coincidencia fiable</x:v>
      </x:c>
      <x:c r="I58" s="15" t="str">
        <x:v>No se ha hallado un lugar fiable para nacimiento ni defunción en las fuentes abiertas revisadas.</x:v>
      </x:c>
      <x:c r="J58" s="15" t="str">
        <x:v>AHDO / protocolos notariales / parroquias de Coaña-Castropol</x:v>
      </x:c>
    </x:row>
    <x:row r="59">
      <x:c r="A59" s="15" t="n">
        <x:v>58</x:v>
      </x:c>
      <x:c r="B59" s="15" t="str">
        <x:v>Alonso García-Infanzón Fernández</x:v>
      </x:c>
      <x:c r="C59" s="15" t="str"/>
      <x:c r="D59" s="15" t="str">
        <x:v>NO LOCALIZADO EN FUENTES ABIERTAS</x:v>
      </x:c>
      <x:c r="E59" s="15" t="str">
        <x:v>Búsqueda/revisión sin coincidencia fiable</x:v>
      </x:c>
      <x:c r="F59" s="15" t="str"/>
      <x:c r="G59" s="15" t="str">
        <x:v>NO LOCALIZADO EN FUENTES ABIERTAS</x:v>
      </x:c>
      <x:c r="H59" s="15" t="str">
        <x:v>Búsqueda/revisión sin coincidencia fiable</x:v>
      </x:c>
      <x:c r="I59" s="15" t="str">
        <x:v>No se ha hallado un lugar fiable para nacimiento ni defunción en las fuentes abiertas revisadas.</x:v>
      </x:c>
      <x:c r="J59" s="15" t="str">
        <x:v>PARES: probanza 1627 + libros parroquiales de Coaña</x:v>
      </x:c>
    </x:row>
    <x:row r="60">
      <x:c r="A60" s="15" t="n">
        <x:v>59</x:v>
      </x:c>
      <x:c r="B60" s="15" t="str">
        <x:v>Antonia López de Folgueras</x:v>
      </x:c>
      <x:c r="C60" s="15" t="str"/>
      <x:c r="D60" s="15" t="str">
        <x:v>NO LOCALIZADO EN FUENTES ABIERTAS</x:v>
      </x:c>
      <x:c r="E60" s="15" t="str">
        <x:v>Búsqueda/revisión sin coincidencia fiable</x:v>
      </x:c>
      <x:c r="F60" s="15" t="str"/>
      <x:c r="G60" s="15" t="str">
        <x:v>NO LOCALIZADO EN FUENTES ABIERTAS</x:v>
      </x:c>
      <x:c r="H60" s="15" t="str">
        <x:v>Búsqueda/revisión sin coincidencia fiable</x:v>
      </x:c>
      <x:c r="I60" s="15" t="str">
        <x:v>No se ha hallado un lugar fiable para nacimiento ni defunción en las fuentes abiertas revisadas.</x:v>
      </x:c>
      <x:c r="J60" s="15" t="str">
        <x:v>Santiago de Folgueras / AHDO</x:v>
      </x:c>
    </x:row>
    <x:row r="61">
      <x:c r="A61" s="15" t="n">
        <x:v>60</x:v>
      </x:c>
      <x:c r="B61" s="15" t="str">
        <x:v>Juana González Fernández</x:v>
      </x:c>
      <x:c r="C61" s="15" t="str">
        <x:v>Armental (Navia)</x:v>
      </x:c>
      <x:c r="D61" s="15" t="str">
        <x:v>LOCALIZADO / YA EN EXCEL</x:v>
      </x:c>
      <x:c r="E61" s="15" t="str">
        <x:v>https://www.ayto-navia.es/parroquias</x:v>
      </x:c>
      <x:c r="F61" s="15" t="str"/>
      <x:c r="G61" s="15" t="str">
        <x:v>NO LOCALIZADO EN FUENTES ABIERTAS</x:v>
      </x:c>
      <x:c r="H61" s="15" t="str">
        <x:v>Búsqueda/revisión sin coincidencia fiable</x:v>
      </x:c>
      <x:c r="I61" s="15" t="str">
        <x:v>Lugar de nacimiento localizado; lugar de defunción no hallado con suficiente fiabilidad.</x:v>
      </x:c>
      <x:c r="J61" s="15" t="str">
        <x:v>San Antolín de Villanueva / AHDO</x:v>
      </x:c>
    </x:row>
    <x:row r="62">
      <x:c r="A62" s="15" t="n">
        <x:v>61</x:v>
      </x:c>
      <x:c r="B62" s="15" t="str">
        <x:v>José Antonio González Fernández</x:v>
      </x:c>
      <x:c r="C62" s="15" t="str">
        <x:v>Armental (Navia)</x:v>
      </x:c>
      <x:c r="D62" s="15" t="str">
        <x:v>LOCALIZADO / YA EN EXCEL</x:v>
      </x:c>
      <x:c r="E62" s="15" t="str">
        <x:v>https://www.ayto-navia.es/parroquias</x:v>
      </x:c>
      <x:c r="F62" s="15" t="str"/>
      <x:c r="G62" s="15" t="str">
        <x:v>NO LOCALIZADO EN FUENTES ABIERTAS</x:v>
      </x:c>
      <x:c r="H62" s="15" t="str">
        <x:v>Búsqueda/revisión sin coincidencia fiable</x:v>
      </x:c>
      <x:c r="I62" s="15" t="str">
        <x:v>Lugar de nacimiento localizado; lugar de defunción no hallado con suficiente fiabilidad.</x:v>
      </x:c>
      <x:c r="J62" s="15" t="str">
        <x:v>San Antolín de Villanueva / AHDO</x:v>
      </x:c>
    </x:row>
    <x:row r="63">
      <x:c r="A63" s="15" t="n">
        <x:v>62</x:v>
      </x:c>
      <x:c r="B63" s="15" t="str">
        <x:v>Ana María Fernández Fernández</x:v>
      </x:c>
      <x:c r="C63" s="15" t="str">
        <x:v>Armental (Villanueva, Navia)</x:v>
      </x:c>
      <x:c r="D63" s="15" t="str">
        <x:v>LOCALIZADO / YA EN EXCEL</x:v>
      </x:c>
      <x:c r="E63" s="15" t="str">
        <x:v>https://www.ayto-navia.es/parroquias</x:v>
      </x:c>
      <x:c r="F63" s="15" t="str"/>
      <x:c r="G63" s="15" t="str">
        <x:v>NO LOCALIZADO EN FUENTES ABIERTAS</x:v>
      </x:c>
      <x:c r="H63" s="15" t="str">
        <x:v>Búsqueda/revisión sin coincidencia fiable</x:v>
      </x:c>
      <x:c r="I63" s="15" t="str">
        <x:v>Lugar de nacimiento localizado; lugar de defunción no hallado con suficiente fiabilidad.</x:v>
      </x:c>
      <x:c r="J63" s="15" t="str">
        <x:v>San Antolín de Villanueva / AHDO</x:v>
      </x:c>
    </x:row>
    <x:row r="64">
      <x:c r="A64" s="15" t="n">
        <x:v>63</x:v>
      </x:c>
      <x:c r="B64" s="15" t="str">
        <x:v>José Antonio González Fernández</x:v>
      </x:c>
      <x:c r="C64" s="15" t="str">
        <x:v>Armental (Navia)</x:v>
      </x:c>
      <x:c r="D64" s="15" t="str">
        <x:v>LOCALIZADO / YA EN EXCEL</x:v>
      </x:c>
      <x:c r="E64" s="15" t="str">
        <x:v>https://www.ayto-navia.es/parroquias</x:v>
      </x:c>
      <x:c r="F64" s="15" t="str"/>
      <x:c r="G64" s="15" t="str">
        <x:v>NO LOCALIZADO EN FUENTES ABIERTAS</x:v>
      </x:c>
      <x:c r="H64" s="15" t="str">
        <x:v>Búsqueda/revisión sin coincidencia fiable</x:v>
      </x:c>
      <x:c r="I64" s="15" t="str">
        <x:v>Lugar de nacimiento localizado; lugar de defunción no hallado con suficiente fiabilidad.</x:v>
      </x:c>
      <x:c r="J64" s="15" t="str">
        <x:v>San Antolín de Villanueva / AHDO</x:v>
      </x:c>
    </x:row>
    <x:row r="65">
      <x:c r="A65" s="15" t="n">
        <x:v>64</x:v>
      </x:c>
      <x:c r="B65" s="15" t="str">
        <x:v>Bernarda Fernández</x:v>
      </x:c>
      <x:c r="C65" s="15" t="str"/>
      <x:c r="D65" s="15" t="str">
        <x:v>NO LOCALIZADO EN FUENTES ABIERTAS</x:v>
      </x:c>
      <x:c r="E65" s="15" t="str">
        <x:v>Búsqueda/revisión sin coincidencia fiable</x:v>
      </x:c>
      <x:c r="F65" s="15" t="str"/>
      <x:c r="G65" s="15" t="str">
        <x:v>NO LOCALIZADO EN FUENTES ABIERTAS</x:v>
      </x:c>
      <x:c r="H65" s="15" t="str">
        <x:v>Búsqueda/revisión sin coincidencia fiable</x:v>
      </x:c>
      <x:c r="I65" s="15" t="str">
        <x:v>No se ha hallado un lugar fiable para nacimiento ni defunción en las fuentes abiertas revisadas.</x:v>
      </x:c>
      <x:c r="J65" s="15" t="str">
        <x:v>San Antolín de Villanueva / AHDO</x:v>
      </x:c>
    </x:row>
    <x:row r="66">
      <x:c r="A66" s="15" t="n">
        <x:v>65</x:v>
      </x:c>
      <x:c r="B66" s="15" t="str">
        <x:v>Juan Fernández Pico</x:v>
      </x:c>
      <x:c r="C66" s="15" t="str"/>
      <x:c r="D66" s="15" t="str">
        <x:v>NO LOCALIZADO EN FUENTES ABIERTAS</x:v>
      </x:c>
      <x:c r="E66" s="15" t="str">
        <x:v>Búsqueda/revisión sin coincidencia fiable</x:v>
      </x:c>
      <x:c r="F66" s="15" t="str"/>
      <x:c r="G66" s="15" t="str">
        <x:v>NO LOCALIZADO EN FUENTES ABIERTAS</x:v>
      </x:c>
      <x:c r="H66" s="15" t="str">
        <x:v>Búsqueda/revisión sin coincidencia fiable</x:v>
      </x:c>
      <x:c r="I66" s="15" t="str">
        <x:v>No se ha hallado un lugar fiable para nacimiento ni defunción en las fuentes abiertas revisadas.</x:v>
      </x:c>
      <x:c r="J66" s="15" t="str">
        <x:v>San Antolín de Villanueva / AHDO</x:v>
      </x:c>
    </x:row>
    <x:row r="67">
      <x:c r="A67" s="15" t="n">
        <x:v>66</x:v>
      </x:c>
      <x:c r="B67" s="15" t="str">
        <x:v>María Fernández</x:v>
      </x:c>
      <x:c r="C67" s="15" t="str"/>
      <x:c r="D67" s="15" t="str">
        <x:v>NO LOCALIZADO EN FUENTES ABIERTAS</x:v>
      </x:c>
      <x:c r="E67" s="15" t="str">
        <x:v>Búsqueda/revisión sin coincidencia fiable</x:v>
      </x:c>
      <x:c r="F67" s="15" t="str"/>
      <x:c r="G67" s="15" t="str">
        <x:v>NO LOCALIZADO EN FUENTES ABIERTAS</x:v>
      </x:c>
      <x:c r="H67" s="15" t="str">
        <x:v>Búsqueda/revisión sin coincidencia fiable</x:v>
      </x:c>
      <x:c r="I67" s="15" t="str">
        <x:v>No se ha hallado un lugar fiable para nacimiento ni defunción en las fuentes abiertas revisadas.</x:v>
      </x:c>
      <x:c r="J67" s="15" t="str">
        <x:v>San Antolín de Villanueva / AHDO</x:v>
      </x:c>
    </x:row>
    <x:row r="68">
      <x:c r="A68" s="15" t="n">
        <x:v>67</x:v>
      </x:c>
      <x:c r="B68" s="15" t="str">
        <x:v>Domingo González García</x:v>
      </x:c>
      <x:c r="C68" s="15" t="str"/>
      <x:c r="D68" s="15" t="str">
        <x:v>NO LOCALIZADO EN FUENTES ABIERTAS</x:v>
      </x:c>
      <x:c r="E68" s="15" t="str">
        <x:v>Búsqueda/revisión sin coincidencia fiable</x:v>
      </x:c>
      <x:c r="F68" s="15" t="str"/>
      <x:c r="G68" s="15" t="str">
        <x:v>NO LOCALIZADO EN FUENTES ABIERTAS</x:v>
      </x:c>
      <x:c r="H68" s="15" t="str">
        <x:v>Búsqueda/revisión sin coincidencia fiable</x:v>
      </x:c>
      <x:c r="I68" s="15" t="str">
        <x:v>No se ha hallado un lugar fiable para nacimiento ni defunción en las fuentes abiertas revisadas.</x:v>
      </x:c>
      <x:c r="J68" s="15" t="str">
        <x:v>San Antolín de Villanueva / AHDO</x:v>
      </x:c>
    </x:row>
    <x:row r="69">
      <x:c r="A69" s="15" t="n">
        <x:v>68</x:v>
      </x:c>
      <x:c r="B69" s="15" t="str">
        <x:v>Isabel Fernández-Chambergo Fernández</x:v>
      </x:c>
      <x:c r="C69" s="15" t="str">
        <x:v>Armental (Navia)</x:v>
      </x:c>
      <x:c r="D69" s="15" t="str">
        <x:v>LOCALIZADO / YA EN EXCEL</x:v>
      </x:c>
      <x:c r="E69" s="15" t="str">
        <x:v>https://www.ayto-navia.es/parroquias</x:v>
      </x:c>
      <x:c r="F69" s="15" t="str"/>
      <x:c r="G69" s="15" t="str">
        <x:v>NO LOCALIZADO EN FUENTES ABIERTAS</x:v>
      </x:c>
      <x:c r="H69" s="15" t="str">
        <x:v>Búsqueda/revisión sin coincidencia fiable</x:v>
      </x:c>
      <x:c r="I69" s="15" t="str">
        <x:v>Lugar de nacimiento localizado; lugar de defunción no hallado con suficiente fiabilidad.</x:v>
      </x:c>
      <x:c r="J69" s="15" t="str">
        <x:v>San Antolín de Villanueva / AHDO</x:v>
      </x:c>
    </x:row>
    <x:row r="70">
      <x:c r="A70" s="15" t="n">
        <x:v>69</x:v>
      </x:c>
      <x:c r="B70" s="15" t="str">
        <x:v>Diego González de Oneta Méndez</x:v>
      </x:c>
      <x:c r="C70" s="15" t="str"/>
      <x:c r="D70" s="15" t="str">
        <x:v>NO LOCALIZADO EN FUENTES ABIERTAS</x:v>
      </x:c>
      <x:c r="E70" s="15" t="str">
        <x:v>Búsqueda/revisión sin coincidencia fiable</x:v>
      </x:c>
      <x:c r="F70" s="15" t="str"/>
      <x:c r="G70" s="15" t="str">
        <x:v>NO LOCALIZADO EN FUENTES ABIERTAS</x:v>
      </x:c>
      <x:c r="H70" s="15" t="str">
        <x:v>Búsqueda/revisión sin coincidencia fiable</x:v>
      </x:c>
      <x:c r="I70" s="15" t="str">
        <x:v>No se ha hallado un lugar fiable para nacimiento ni defunción en las fuentes abiertas revisadas.</x:v>
      </x:c>
      <x:c r="J70" s="15" t="str">
        <x:v>San Antolín de Villanueva / AHDO</x:v>
      </x:c>
    </x:row>
    <x:row r="71">
      <x:c r="A71" s="15" t="n">
        <x:v>70</x:v>
      </x:c>
      <x:c r="B71" s="15" t="str">
        <x:v>Dominga García San Pelayo</x:v>
      </x:c>
      <x:c r="C71" s="15" t="str"/>
      <x:c r="D71" s="15" t="str">
        <x:v>NO LOCALIZADO EN FUENTES ABIERTAS</x:v>
      </x:c>
      <x:c r="E71" s="15" t="str">
        <x:v>Búsqueda/revisión sin coincidencia fiable</x:v>
      </x:c>
      <x:c r="F71" s="15" t="str"/>
      <x:c r="G71" s="15" t="str">
        <x:v>NO LOCALIZADO EN FUENTES ABIERTAS</x:v>
      </x:c>
      <x:c r="H71" s="15" t="str">
        <x:v>Búsqueda/revisión sin coincidencia fiable</x:v>
      </x:c>
      <x:c r="I71" s="15" t="str">
        <x:v>No se ha hallado un lugar fiable para nacimiento ni defunción en las fuentes abiertas revisadas.</x:v>
      </x:c>
      <x:c r="J71" s="15" t="str">
        <x:v>San Antolín de Villanueva / AHDO</x:v>
      </x:c>
    </x:row>
    <x:row r="72">
      <x:c r="A72" s="15" t="n">
        <x:v>71</x:v>
      </x:c>
      <x:c r="B72" s="15" t="str">
        <x:v>Pedro Fernández-Chambergo</x:v>
      </x:c>
      <x:c r="C72" s="15" t="str"/>
      <x:c r="D72" s="15" t="str">
        <x:v>NO LOCALIZADO EN FUENTES ABIERTAS</x:v>
      </x:c>
      <x:c r="E72" s="15" t="str">
        <x:v>Búsqueda/revisión sin coincidencia fiable</x:v>
      </x:c>
      <x:c r="F72" s="15" t="str"/>
      <x:c r="G72" s="15" t="str">
        <x:v>NO LOCALIZADO EN FUENTES ABIERTAS</x:v>
      </x:c>
      <x:c r="H72" s="15" t="str">
        <x:v>Búsqueda/revisión sin coincidencia fiable</x:v>
      </x:c>
      <x:c r="I72" s="15" t="str">
        <x:v>No se ha hallado un lugar fiable para nacimiento ni defunción en las fuentes abiertas revisadas.</x:v>
      </x:c>
      <x:c r="J72" s="15" t="str">
        <x:v>San Antolín de Villanueva / AHDO</x:v>
      </x:c>
    </x:row>
    <x:row r="73">
      <x:c r="A73" s="15" t="n">
        <x:v>72</x:v>
      </x:c>
      <x:c r="B73" s="15" t="str">
        <x:v>Diego Antonio Sánchez de Ron Méndez-Trelles</x:v>
      </x:c>
      <x:c r="C73" s="15" t="str">
        <x:v>Meiro, Coaña (Asturias)</x:v>
      </x:c>
      <x:c r="D73" s="15" t="str">
        <x:v>LOCALIZADO / YA EN EXCEL</x:v>
      </x:c>
      <x:c r="E73" s="15" t="str">
        <x:v>https://es.geneanet.org/fonds/individus/?go=1&amp;nom=TRELLES&amp;page=3&amp;prenom=Antonio&amp;prenom_operateur=&amp;size=40&amp;with_variantes_nom=&amp;with_variantes_prenom=</x:v>
      </x:c>
      <x:c r="F73" s="15" t="str"/>
      <x:c r="G73" s="15" t="str">
        <x:v>NO LOCALIZADO EN FUENTES ABIERTAS</x:v>
      </x:c>
      <x:c r="H73" s="15" t="str">
        <x:v>Búsqueda/revisión sin coincidencia fiable</x:v>
      </x:c>
      <x:c r="I73" s="15" t="str">
        <x:v>Lugar de nacimiento localizado; lugar de defunción no hallado con suficiente fiabilidad.</x:v>
      </x:c>
      <x:c r="J73" s="15" t="str">
        <x:v>16ª pasada: búsqueda exacta por nombre, esposa, 1763 y Meiro sin hallar padres. La partida de bautismo/matrimonio es ya imprescindible para enlazarlo.</x:v>
      </x:c>
    </x:row>
    <x:row r="74">
      <x:c r="A74" s="15" t="n">
        <x:v>73</x:v>
      </x:c>
      <x:c r="B74" s="15" t="str">
        <x:v>Leonor Suárez Trelles y Villamil</x:v>
      </x:c>
      <x:c r="C74" s="15" t="str"/>
      <x:c r="D74" s="15" t="str">
        <x:v>NO LOCALIZADO EN FUENTES ABIERTAS</x:v>
      </x:c>
      <x:c r="E74" s="15" t="str">
        <x:v>Búsqueda/revisión sin coincidencia fiable</x:v>
      </x:c>
      <x:c r="F74" s="15" t="str"/>
      <x:c r="G74" s="15" t="str">
        <x:v>NO LOCALIZADO EN FUENTES ABIERTAS</x:v>
      </x:c>
      <x:c r="H74" s="15" t="str">
        <x:v>Búsqueda/revisión sin coincidencia fiable</x:v>
      </x:c>
      <x:c r="I74" s="15" t="str">
        <x:v>No se ha hallado un lugar fiable para nacimiento ni defunción en las fuentes abiertas revisadas.</x:v>
      </x:c>
      <x:c r="J74" s="15" t="str">
        <x:v>Consultar el expediente 23.542/11: puede contener filiación, ascendientes, matrimonio y árbol probatorio</x:v>
      </x:c>
    </x:row>
    <x:row r="75">
      <x:c r="A75" s="15" t="n">
        <x:v>74</x:v>
      </x:c>
      <x:c r="B75" s="15" t="str">
        <x:v>Juan García Infanzón (padre)</x:v>
      </x:c>
      <x:c r="C75" s="15" t="str">
        <x:v>Coaña (Asturias)</x:v>
      </x:c>
      <x:c r="D75" s="15" t="str">
        <x:v>LOCALIZADO / YA EN EXCEL</x:v>
      </x:c>
      <x:c r="E75" s="15" t="str">
        <x:v>https://pares.mcu.es/ParesBusquedas20/catalogo/find?archivo=8&amp;idAut=70553&amp;idLP=-1&amp;idN=19&amp;nomAut=Coa%C3%B1a+%28Asturias%2C+Espa%C3%B1a%29&amp;tipoAsocAut=1</x:v>
      </x:c>
      <x:c r="F75" s="15" t="str"/>
      <x:c r="G75" s="15" t="str">
        <x:v>NO LOCALIZADO EN FUENTES ABIERTAS</x:v>
      </x:c>
      <x:c r="H75" s="15" t="str">
        <x:v>Búsqueda/revisión sin coincidencia fiable</x:v>
      </x:c>
      <x:c r="I75" s="15" t="str">
        <x:v>Lugar de nacimiento localizado; lugar de defunción no hallado con suficiente fiabilidad.</x:v>
      </x:c>
      <x:c r="J75" s="15" t="str">
        <x:v>Consultar SALA DE HIJOSDALGO, CAJA 1391,13 y el expediente de 1671 de Leonor para cerrar identidad.</x:v>
      </x:c>
    </x:row>
    <x:row r="76">
      <x:c r="A76" s="15" t="n">
        <x:v>75</x:v>
      </x:c>
      <x:c r="B76" s="15" t="str">
        <x:v>Juan García Infanzón (hijo)</x:v>
      </x:c>
      <x:c r="C76" s="15" t="str">
        <x:v>Coaña (Asturias)</x:v>
      </x:c>
      <x:c r="D76" s="15" t="str">
        <x:v>LOCALIZADO / YA EN EXCEL</x:v>
      </x:c>
      <x:c r="E76" s="15" t="str">
        <x:v>https://pares.mcu.es/ParesBusquedas20/catalogo/find?archivo=8&amp;idAut=70553&amp;idL...</x:v>
      </x:c>
      <x:c r="F76" s="15" t="str"/>
      <x:c r="G76" s="15" t="str">
        <x:v>NO LOCALIZADO EN FUENTES ABIERTAS</x:v>
      </x:c>
      <x:c r="H76" s="15" t="str">
        <x:v>Búsqueda/revisión sin coincidencia fiable</x:v>
      </x:c>
      <x:c r="I76" s="15" t="str">
        <x:v>Lugar de nacimiento localizado; lugar de defunción no hallado con suficiente fiabilidad.</x:v>
      </x:c>
      <x:c r="J76" s="15" t="str">
        <x:v>Consultar SALA DE HIJOSDALGO, CAJA 1391,13 para edad, estado y posibles desce...</x:v>
      </x:c>
    </x:row>
    <x:row r="77">
      <x:c r="A77" s="15" t="n">
        <x:v>76</x:v>
      </x:c>
      <x:c r="B77" s="15" t="str">
        <x:v>Miguel García Infanzón</x:v>
      </x:c>
      <x:c r="C77" s="15" t="str">
        <x:v>Coaña (Asturias)</x:v>
      </x:c>
      <x:c r="D77" s="15" t="str">
        <x:v>LOCALIZADO / YA EN EXCEL</x:v>
      </x:c>
      <x:c r="E77" s="15" t="str">
        <x:v>https://pares.mcu.es/ParesBusquedas20/catalogo/find?archivo=8&amp;idAut=70553&amp;idL...</x:v>
      </x:c>
      <x:c r="F77" s="15" t="str"/>
      <x:c r="G77" s="15" t="str">
        <x:v>NO LOCALIZADO EN FUENTES ABIERTAS</x:v>
      </x:c>
      <x:c r="H77" s="15" t="str">
        <x:v>Búsqueda/revisión sin coincidencia fiable</x:v>
      </x:c>
      <x:c r="I77" s="15" t="str">
        <x:v>Lugar de nacimiento localizado; lugar de defunción no hallado con suficiente fiabilidad.</x:v>
      </x:c>
      <x:c r="J77" s="15" t="str">
        <x:v>Consultar SALA DE HIJOSDALGO, CAJA 1391,13 para completar filiación y descend...</x:v>
      </x:c>
    </x:row>
    <x:row r="78">
      <x:c r="A78" s="15" t="n">
        <x:v>77</x:v>
      </x:c>
      <x:c r="B78" s="15" t="str">
        <x:v>Pelayo Antonio Méndez Trelles (padre)</x:v>
      </x:c>
      <x:c r="C78" s="15" t="str">
        <x:v>Villacondide / entorno de Coaña (Asturias)</x:v>
      </x:c>
      <x:c r="D78" s="15" t="str">
        <x:v>LOCALIZADO / YA EN EXCEL</x:v>
      </x:c>
      <x:c r="E78" s="15" t="str">
        <x:v>https://dialnet.unirioja.es/descarga/articulo/3016531.pdf</x:v>
      </x:c>
      <x:c r="F78" s="15" t="str"/>
      <x:c r="G78" s="15" t="str">
        <x:v>NO LOCALIZADO EN FUENTES ABIERTAS</x:v>
      </x:c>
      <x:c r="H78" s="15" t="str">
        <x:v>Búsqueda/revisión sin coincidencia fiable</x:v>
      </x:c>
      <x:c r="I78" s="15" t="str">
        <x:v>Lugar de nacimiento localizado; lugar de defunción no hallado con suficiente fiabilidad.</x:v>
      </x:c>
      <x:c r="J78" s="15" t="str">
        <x:v>Revisar cuentas del patronato y libros de Villacondide para fechar muerte del...</x:v>
      </x:c>
    </x:row>
    <x:row r="79">
      <x:c r="A79" s="15" t="n">
        <x:v>78</x:v>
      </x:c>
      <x:c r="B79" s="15" t="str">
        <x:v>Pelayo Antonio Méndez Trelles (hijo, «menor»)</x:v>
      </x:c>
      <x:c r="C79" s="15" t="str">
        <x:v>Villacondide / entorno de Coaña (Asturias)</x:v>
      </x:c>
      <x:c r="D79" s="15" t="str">
        <x:v>LOCALIZADO / YA EN EXCEL</x:v>
      </x:c>
      <x:c r="E79" s="15" t="str">
        <x:v>https://dialnet.unirioja.es/descarga/articulo/3016531.pdf</x:v>
      </x:c>
      <x:c r="F79" s="15" t="str"/>
      <x:c r="G79" s="15" t="str">
        <x:v>NO LOCALIZADO EN FUENTES ABIERTAS</x:v>
      </x:c>
      <x:c r="H79" s="15" t="str">
        <x:v>Búsqueda/revisión sin coincidencia fiable</x:v>
      </x:c>
      <x:c r="I79" s="15" t="str">
        <x:v>Lugar de nacimiento localizado; lugar de defunción no hallado con suficiente fiabilidad.</x:v>
      </x:c>
      <x:c r="J79" s="15" t="str">
        <x:v>Buscar bautismo anterior a 1780 y expedientes de cuentas posteriores para ide...</x:v>
      </x:c>
    </x:row>
    <x:row r="80">
      <x:c r="A80" s="15" t="n">
        <x:v>79</x:v>
      </x:c>
      <x:c r="B80" s="15" t="str">
        <x:v>Suero González de Trelles</x:v>
      </x:c>
      <x:c r="C80" s="137" t="str">
        <x:v>Pumarín, San Juan de Trelles, Coaña (Asturias)</x:v>
      </x:c>
      <x:c r="D80" s="137" t="str">
        <x:v>CONFIRMADO EXPLÍCITAMENTE 19ª</x:v>
      </x:c>
      <x:c r="E80" s="137" t="str">
        <x:v>https://dialnet.unirioja.es/descarga/articulo/3016531.pdf</x:v>
      </x:c>
      <x:c r="F80" s="15" t="str"/>
      <x:c r="G80" s="147" t="str">
        <x:v>FECHA ACOTADA; LUGAR NO LOCALIZADO</x:v>
      </x:c>
      <x:c r="H80" s="147" t="str">
        <x:v>https://dialnet.unirioja.es/descarga/articulo/3016531.pdf</x:v>
      </x:c>
      <x:c r="I80" s="147" t="str">
        <x:v>22ª pasada: cota corregida a antes de 1610; la fuente dice «muerto hacía más de cincuenta años».</x:v>
      </x:c>
      <x:c r="J80" s="15" t="str">
        <x:v>Revisar padrones de Trelles 1590-1626 y protocolos notariales de Castropol/Co...</x:v>
      </x:c>
    </x:row>
    <x:row r="81">
      <x:c r="A81" s="15" t="n">
        <x:v>80</x:v>
      </x:c>
      <x:c r="B81" s="15" t="str">
        <x:v>María Alfonso (o Alonso) Infanzón</x:v>
      </x:c>
      <x:c r="C81" s="137" t="str">
        <x:v>Coaña (Asturias)</x:v>
      </x:c>
      <x:c r="D81" s="137" t="str">
        <x:v>CONFIRMADO EXPLÍCITAMENTE 19ª</x:v>
      </x:c>
      <x:c r="E81" s="137" t="str">
        <x:v>https://dialnet.unirioja.es/descarga/articulo/3016531.pdf</x:v>
      </x:c>
      <x:c r="F81" s="15" t="str"/>
      <x:c r="G81" s="144" t="str">
        <x:v>FECHA ACOTADA; LUGAR NO LOCALIZADO</x:v>
      </x:c>
      <x:c r="H81" s="144" t="str">
        <x:v>https://dialnet.unirioja.es/descarga/articulo/3016531.pdf</x:v>
      </x:c>
      <x:c r="I81" s="147" t="str">
        <x:v>Fallecimiento acotado por testimonio a antes de 1598; lugar de muerte aún no documentado. 22ª pasada: origen de linaje adicional: Casa de Lamabona, San Antolín de Villanueva (Navia).</x:v>
      </x:c>
      <x:c r="J81" s="15" t="str">
        <x:v>Buscar bautismo/matrimonio en Coaña y testamento o partida de defunción anter...</x:v>
      </x:c>
    </x:row>
    <x:row r="82">
      <x:c r="A82" s="15" t="n">
        <x:v>81</x:v>
      </x:c>
      <x:c r="B82" s="15" t="str">
        <x:v>Lucas Fernández Infanzón</x:v>
      </x:c>
      <x:c r="C82" s="15" t="str">
        <x:v>Coaña (Asturias)</x:v>
      </x:c>
      <x:c r="D82" s="15" t="str">
        <x:v>LOCALIZADO / YA EN EXCEL</x:v>
      </x:c>
      <x:c r="E82" s="15" t="str">
        <x:v>https://dialnet.unirioja.es/descarga/articulo/3016531.pdf</x:v>
      </x:c>
      <x:c r="F82" s="15" t="str"/>
      <x:c r="G82" s="15" t="str">
        <x:v>NO LOCALIZADO EN FUENTES ABIERTAS</x:v>
      </x:c>
      <x:c r="H82" s="15" t="str">
        <x:v>Búsqueda/revisión sin coincidencia fiable</x:v>
      </x:c>
      <x:c r="I82" s="15" t="str">
        <x:v>Lugar de nacimiento localizado; lugar de defunción no hallado con suficiente fiabilidad.</x:v>
      </x:c>
      <x:c r="J82" s="15" t="str">
        <x:v>Buscar padrones y protocolos de Coaña de mediados del siglo XVI.</x:v>
      </x:c>
    </x:row>
    <x:row r="83">
      <x:c r="A83" s="15" t="n">
        <x:v>82</x:v>
      </x:c>
      <x:c r="B83" s="15" t="str">
        <x:v>María Alfonso</x:v>
      </x:c>
      <x:c r="C83" s="15" t="str">
        <x:v>Coaña (Asturias)</x:v>
      </x:c>
      <x:c r="D83" s="15" t="str">
        <x:v>LOCALIZADO / YA EN EXCEL</x:v>
      </x:c>
      <x:c r="E83" s="15" t="str">
        <x:v>https://dialnet.unirioja.es/descarga/articulo/3016531.pdf</x:v>
      </x:c>
      <x:c r="F83" s="15" t="str"/>
      <x:c r="G83" s="15" t="str">
        <x:v>NO LOCALIZADO EN FUENTES ABIERTAS</x:v>
      </x:c>
      <x:c r="H83" s="15" t="str">
        <x:v>Búsqueda/revisión sin coincidencia fiable</x:v>
      </x:c>
      <x:c r="I83" s="15" t="str">
        <x:v>Lugar de nacimiento localizado; lugar de defunción no hallado con suficiente fiabilidad.</x:v>
      </x:c>
      <x:c r="J83" s="15" t="str">
        <x:v>Buscar padrones y protocolos de Coaña de mediados del siglo XVI.</x:v>
      </x:c>
    </x:row>
    <x:row r="84">
      <x:c r="A84" s="15" t="n">
        <x:v>83</x:v>
      </x:c>
      <x:c r="B84" s="15" t="str">
        <x:v>Catalina Suárez de Trelles Infanzón</x:v>
      </x:c>
      <x:c r="C84" s="137" t="str">
        <x:v>Pumarín, San Juan de Trelles, Coaña (Asturias)</x:v>
      </x:c>
      <x:c r="D84" s="137" t="str">
        <x:v>CONFIRMADO EXPLÍCITAMENTE 19ª</x:v>
      </x:c>
      <x:c r="E84" s="137" t="str">
        <x:v>https://dialnet.unirioja.es/descarga/articulo/3016531.pdf</x:v>
      </x:c>
      <x:c r="F84" s="15" t="str"/>
      <x:c r="G84" s="15" t="str">
        <x:v>NO LOCALIZADO EN FUENTES ABIERTAS</x:v>
      </x:c>
      <x:c r="H84" s="15" t="str">
        <x:v>Búsqueda/revisión sin coincidencia fiable</x:v>
      </x:c>
      <x:c r="I84" s="137" t="str">
        <x:v>Biografía de Benito de Trelles: Catalina era natural de Pumarín.</x:v>
      </x:c>
      <x:c r="J84" s="15" t="str">
        <x:v>Consultar el libro de casados de Villacondide (1605) y bautismos de sus hijos.</x:v>
      </x:c>
    </x:row>
    <x:row r="85">
      <x:c r="A85" s="15" t="n">
        <x:v>84</x:v>
      </x:c>
      <x:c r="B85" s="15" t="str">
        <x:v>Gonzalo Méndez de Coaña (Méndez de Meiro)</x:v>
      </x:c>
      <x:c r="C85" s="15" t="str">
        <x:v>Meiro / Coaña (Asturias)</x:v>
      </x:c>
      <x:c r="D85" s="15" t="str">
        <x:v>LOCALIZADO / YA EN EXCEL</x:v>
      </x:c>
      <x:c r="E85" s="15" t="str">
        <x:v>https://es.wikipedia.org/wiki/Benito_de_Trelles</x:v>
      </x:c>
      <x:c r="F85" s="15" t="str"/>
      <x:c r="G85" s="15" t="str">
        <x:v>NO LOCALIZADO EN FUENTES ABIERTAS</x:v>
      </x:c>
      <x:c r="H85" s="15" t="str">
        <x:v>Búsqueda/revisión sin coincidencia fiable</x:v>
      </x:c>
      <x:c r="I85" s="137" t="str">
        <x:v>Lugar de nacimiento localizado; lugar de defunción no hallado con suficiente fiabilidad. 19ª pasada: FamilySearch propone Boal como nacimiento, pero no se promueve por falta de fuente primaria visible.</x:v>
      </x:c>
      <x:c r="J85" s="15" t="str">
        <x:v>Buscar partida matrimonial de 1605 y padrones de Folgueras/Meiro.</x:v>
      </x:c>
    </x:row>
    <x:row r="86">
      <x:c r="A86" s="15" t="n">
        <x:v>85</x:v>
      </x:c>
      <x:c r="B86" s="15" t="str">
        <x:v>Lope Suárez de Trelles Coaña y Villamil</x:v>
      </x:c>
      <x:c r="C86" s="137" t="str">
        <x:v>Serandinas, Boal (Asturias)</x:v>
      </x:c>
      <x:c r="D86" s="137" t="str">
        <x:v>CONFIRMADO EXPLÍCITAMENTE 19ª</x:v>
      </x:c>
      <x:c r="E86" s="137" t="str">
        <x:v>https://dialnet.unirioja.es/descarga/articulo/3016531.pdf</x:v>
      </x:c>
      <x:c r="F86" s="15" t="str"/>
      <x:c r="G86" s="15" t="str">
        <x:v>NO LOCALIZADO EN FUENTES ABIERTAS</x:v>
      </x:c>
      <x:c r="H86" s="15" t="str">
        <x:v>Búsqueda/revisión sin coincidencia fiable</x:v>
      </x:c>
      <x:c r="I86" s="137" t="str">
        <x:v>Natural de Serandinas; el 12/04/1612 es fecha de bautismo en Villacondide.</x:v>
      </x:c>
      <x:c r="J86" s="15" t="str">
        <x:v>Consultar directamente el libro de bautizados de Villacondide para obtener fe...</x:v>
      </x:c>
    </x:row>
    <x:row r="87">
      <x:c r="A87" s="15" t="n">
        <x:v>86</x:v>
      </x:c>
      <x:c r="B87" s="15" t="str">
        <x:v>Benito Trelles Coaña y Villamil</x:v>
      </x:c>
      <x:c r="C87" s="15" t="str">
        <x:v>Serandinas, Boal (Asturias)</x:v>
      </x:c>
      <x:c r="D87" s="15" t="str">
        <x:v>LOCALIZADO / YA EN EXCEL</x:v>
      </x:c>
      <x:c r="E87" s="15" t="str">
        <x:v>https://es.wikipedia.org/wiki/Benito_de_Trelles</x:v>
      </x:c>
      <x:c r="F87" s="134" t="str">
        <x:v>Madrid (Madrid)</x:v>
      </x:c>
      <x:c r="G87" s="134" t="str">
        <x:v>CONFIRMADO EXPLÍCITAMENTE 18ª</x:v>
      </x:c>
      <x:c r="H87" s="134" t="str">
        <x:v>https://es.wikipedia.org/wiki/Benito_de_Trelles</x:v>
      </x:c>
      <x:c r="I87" s="134" t="str">
        <x:v>18ª pasada: se mantiene Madrid como lugar de fallecimiento; la biografía lo da expresamente: Madrid, 7/11/1682.</x:v>
      </x:c>
      <x:c r="J87" s="15" t="str">
        <x:v>Buscar partida de bautismo de Santa Marina de Serandinas para completar fecha...</x:v>
      </x:c>
    </x:row>
    <x:row r="88">
      <x:c r="A88" s="15" t="n">
        <x:v>87</x:v>
      </x:c>
      <x:c r="B88" s="15" t="str">
        <x:v>Lope Suárez de Meiro / Lope Suárez de Trelles y Villamil</x:v>
      </x:c>
      <x:c r="C88" s="126" t="str">
        <x:v>Serandinas (Boal, Asturias)</x:v>
      </x:c>
      <x:c r="D88" s="126" t="str">
        <x:v>NUEVO CONFIRMADO 17ª</x:v>
      </x:c>
      <x:c r="E88" s="126" t="str">
        <x:v>https://es.wikipedia.org/wiki/Benito_de_Trelles</x:v>
      </x:c>
      <x:c r="F88" s="15" t="str"/>
      <x:c r="G88" s="15" t="str">
        <x:v>NO LOCALIZADO EN FUENTES ABIERTAS</x:v>
      </x:c>
      <x:c r="H88" s="15" t="str">
        <x:v>Búsqueda/revisión sin coincidencia fiable</x:v>
      </x:c>
      <x:c r="I88" s="15" t="str">
        <x:v>Sepultura documentada en Santiago de Folgueras; lugar de defunción no demostrado.</x:v>
      </x:c>
      <x:c r="J88" s="15" t="str">
        <x:v>Seguir la línea paterna con el testamento de Benito Trelles y las pruebas de ...</x:v>
      </x:c>
    </x:row>
    <x:row r="89">
      <x:c r="A89" s="15" t="n">
        <x:v>88</x:v>
      </x:c>
      <x:c r="B89" s="15" t="str">
        <x:v>Leonor Alonso / Leonor Alfonso de Lantoira y Villamil</x:v>
      </x:c>
      <x:c r="C89" s="15" t="str">
        <x:v>Casa de Lantoira / occidente de Asturias</x:v>
      </x:c>
      <x:c r="D89" s="15" t="str">
        <x:v>LOCALIZADO / YA EN EXCEL</x:v>
      </x:c>
      <x:c r="E89" s="15" t="str">
        <x:v>https://es.wikipedia.org/wiki/Marquesado_de_Sala_de_Partinico</x:v>
      </x:c>
      <x:c r="F89" s="15" t="str"/>
      <x:c r="G89" s="15" t="str">
        <x:v>NO LOCALIZADO EN FUENTES ABIERTAS</x:v>
      </x:c>
      <x:c r="H89" s="15" t="str">
        <x:v>Búsqueda/revisión sin coincidencia fiable</x:v>
      </x:c>
      <x:c r="I89" s="140" t="str">
        <x:v>Sepultura documentada en Santiago de Folgueras; lugar de defunción no demostrado. 20ª pasada: origen familiar precisado en la Casa de Lantoira, San Juan de Moldes (Castropol); nacimiento no confirmado.</x:v>
      </x:c>
      <x:c r="J89" s="15" t="str">
        <x:v>Buscar documento de la casa de Lantoira para sus padres.</x:v>
      </x:c>
    </x:row>
    <x:row r="90">
      <x:c r="A90" s="15" t="n">
        <x:v>89</x:v>
      </x:c>
      <x:c r="B90" s="15" t="str">
        <x:v>Fernando Fernández de Trelles</x:v>
      </x:c>
      <x:c r="C90" s="137" t="str">
        <x:v>Pumarín, San Juan de Trelles, Coaña (Asturias)</x:v>
      </x:c>
      <x:c r="D90" s="137" t="str">
        <x:v>CONFIRMADO CON CONFLICTO 19ª</x:v>
      </x:c>
      <x:c r="E90" s="137" t="str">
        <x:v>https://dialnet.unirioja.es/descarga/articulo/3016531.pdf</x:v>
      </x:c>
      <x:c r="F90" s="15" t="str"/>
      <x:c r="G90" s="15" t="str">
        <x:v>NO LOCALIZADO EN FUENTES ABIERTAS</x:v>
      </x:c>
      <x:c r="H90" s="15" t="str">
        <x:v>Búsqueda/revisión sin coincidencia fiable</x:v>
      </x:c>
      <x:c r="I90" s="137" t="str">
        <x:v>Salazar y Castro: natural de Pumarín; otra declaración antigua dice «Callinas [sic.]».</x:v>
      </x:c>
      <x:c r="J90" s="15" t="str">
        <x:v>Consultar padrones originales de Castropol/Trelles 1578-1596 y la información...</x:v>
      </x:c>
    </x:row>
    <x:row r="91">
      <x:c r="A91" s="15" t="n">
        <x:v>90</x:v>
      </x:c>
      <x:c r="B91" s="15" t="str">
        <x:v>Teresa Díaz de Trelles («Teresa del Río»)</x:v>
      </x:c>
      <x:c r="C91" s="137" t="str">
        <x:v>Pumarín, San Juan de Trelles, Coaña (Asturias)</x:v>
      </x:c>
      <x:c r="D91" s="137" t="str">
        <x:v>CONFIRMADO CON CONFLICTO 19ª</x:v>
      </x:c>
      <x:c r="E91" s="137" t="str">
        <x:v>https://dialnet.unirioja.es/descarga/articulo/3016531.pdf</x:v>
      </x:c>
      <x:c r="F91" s="15" t="str"/>
      <x:c r="G91" s="15" t="str">
        <x:v>NO LOCALIZADO EN FUENTES ABIERTAS</x:v>
      </x:c>
      <x:c r="H91" s="15" t="str">
        <x:v>Búsqueda/revisión sin coincidencia fiable</x:v>
      </x:c>
      <x:c r="I91" s="137" t="str">
        <x:v>Salazar y Castro: natural de Pumarín; otra declaración antigua dice «Callinas [sic.]».</x:v>
      </x:c>
      <x:c r="J91" s="15" t="str">
        <x:v>Buscar padrones del siglo XVI de Trelles y documentación de dote para precisa...</x:v>
      </x:c>
    </x:row>
    <x:row r="92">
      <x:c r="A92" s="15" t="n">
        <x:v>91</x:v>
      </x:c>
      <x:c r="B92" s="15" t="str">
        <x:v>Lope Méndez de Trelles («el de Villar»)</x:v>
      </x:c>
      <x:c r="C92" s="144" t="str">
        <x:v>Trelles, Coaña (Asturias)</x:v>
      </x:c>
      <x:c r="D92" s="144" t="str">
        <x:v>CONFIRMADO EXPLÍCITAMENTE 21ª</x:v>
      </x:c>
      <x:c r="E92" s="144" t="str">
        <x:v>https://dialnet.unirioja.es/descarga/articulo/3016531.pdf</x:v>
      </x:c>
      <x:c r="F92" s="15" t="str"/>
      <x:c r="G92" s="15" t="str">
        <x:v>NO LOCALIZADO EN FUENTES ABIERTAS</x:v>
      </x:c>
      <x:c r="H92" s="15" t="str">
        <x:v>Búsqueda/revisión sin coincidencia fiable</x:v>
      </x:c>
      <x:c r="I92" s="147" t="str">
        <x:v>Declaración de 1666: natural y vecino de Trelles. 22ª pasada: sepultura documentada en la parroquia de Trelles; lugar físico de fallecimiento no conocido.</x:v>
      </x:c>
      <x:c r="J92" s="15" t="str">
        <x:v>Contrastar con padrones más antiguos y la Colección Salazar y Castro D-45.</x:v>
      </x:c>
    </x:row>
    <x:row r="93">
      <x:c r="A93" s="15" t="n">
        <x:v>92</x:v>
      </x:c>
      <x:c r="B93" s="15" t="str">
        <x:v>María García de Trelles</x:v>
      </x:c>
      <x:c r="C93" s="144" t="str">
        <x:v>Trelles, Coaña (Asturias)</x:v>
      </x:c>
      <x:c r="D93" s="144" t="str">
        <x:v>CONFIRMADO EXPLÍCITAMENTE 21ª</x:v>
      </x:c>
      <x:c r="E93" s="144" t="str">
        <x:v>https://dialnet.unirioja.es/descarga/articulo/3016531.pdf</x:v>
      </x:c>
      <x:c r="F93" s="15" t="str"/>
      <x:c r="G93" s="15" t="str">
        <x:v>NO LOCALIZADO EN FUENTES ABIERTAS</x:v>
      </x:c>
      <x:c r="H93" s="15" t="str">
        <x:v>Búsqueda/revisión sin coincidencia fiable</x:v>
      </x:c>
      <x:c r="I93" s="147" t="str">
        <x:v>Declaración de 1666: natural y vecina de Trelles. 22ª pasada: sepultura documentada en la parroquia de Trelles; lugar físico de fallecimiento no conocido.</x:v>
      </x:c>
      <x:c r="J93" s="15" t="str">
        <x:v>Consultar el expediente AHN Órdenes Militares, Santiago, 680-8220 para resolv...</x:v>
      </x:c>
    </x:row>
    <x:row r="94">
      <x:c r="A94" s="15" t="n">
        <x:v>93</x:v>
      </x:c>
      <x:c r="B94" s="15" t="str">
        <x:v>Fernán (o Fernando) López de Trelles («de Villar» / «de Villarín»)</x:v>
      </x:c>
      <x:c r="C94" s="144" t="str">
        <x:v>Trelles, Coaña (Asturias)</x:v>
      </x:c>
      <x:c r="D94" s="144" t="str">
        <x:v>CONFIRMADO EXPLÍCITAMENTE 21ª</x:v>
      </x:c>
      <x:c r="E94" s="144" t="str">
        <x:v>https://dialnet.unirioja.es/descarga/articulo/3016531.pdf</x:v>
      </x:c>
      <x:c r="F94" s="15" t="str"/>
      <x:c r="G94" s="15" t="str">
        <x:v>NO LOCALIZADO EN FUENTES ABIERTAS</x:v>
      </x:c>
      <x:c r="H94" s="15" t="str">
        <x:v>Búsqueda/revisión sin coincidencia fiable</x:v>
      </x:c>
      <x:c r="I94" s="144" t="str">
        <x:v>Declaración de 1666: natural y vecino de Trelles; «de Villar/Villarín» se mantiene como sobrenombre/origen de casa.</x:v>
      </x:c>
      <x:c r="J94" s="15" t="str">
        <x:v>Revisar documentos de dote en poder de la familia Herrera-Vaillant y la Colec...</x:v>
      </x:c>
    </x:row>
    <x:row r="95">
      <x:c r="A95" s="15" t="n">
        <x:v>94</x:v>
      </x:c>
      <x:c r="B95" s="15" t="str">
        <x:v>Suero González de Trelles («del Río», generación anterior)</x:v>
      </x:c>
      <x:c r="C95" s="15" t="str">
        <x:v>El Río, Pumarín, parroquia de Trelles (Asturias)</x:v>
      </x:c>
      <x:c r="D95" s="15" t="str">
        <x:v>LOCALIZADO / YA EN EXCEL</x:v>
      </x:c>
      <x:c r="E95" s="15" t="str">
        <x:v>https://dialnet.unirioja.es/descarga/articulo/3016531.pdf</x:v>
      </x:c>
      <x:c r="F95" s="15" t="str"/>
      <x:c r="G95" s="15" t="str">
        <x:v>NO LOCALIZADO EN FUENTES ABIERTAS</x:v>
      </x:c>
      <x:c r="H95" s="15" t="str">
        <x:v>Búsqueda/revisión sin coincidencia fiable</x:v>
      </x:c>
      <x:c r="I95" s="15" t="str">
        <x:v>Lugar de nacimiento localizado; lugar de defunción no hallado con suficiente fiabilidad.</x:v>
      </x:c>
      <x:c r="J95" s="15" t="str">
        <x:v>Consultar pruebas de 1666 y padrones del siglo XVI para separar inequívocamen...</x:v>
      </x:c>
    </x:row>
    <x:row r="96">
      <x:c r="A96" s="15" t="n">
        <x:v>95</x:v>
      </x:c>
      <x:c r="B96" s="15" t="str">
        <x:v>María Méndez Morán de Navia</x:v>
      </x:c>
      <x:c r="C96" s="15" t="str">
        <x:v>Navia / occidente de Asturias</x:v>
      </x:c>
      <x:c r="D96" s="15" t="str">
        <x:v>LOCALIZADO / YA EN EXCEL</x:v>
      </x:c>
      <x:c r="E96" s="15" t="str">
        <x:v>https://dialnet.unirioja.es/descarga/articulo/4151486.pdf</x:v>
      </x:c>
      <x:c r="F96" s="15" t="str"/>
      <x:c r="G96" s="15" t="str">
        <x:v>NO LOCALIZADO EN FUENTES ABIERTAS</x:v>
      </x:c>
      <x:c r="H96" s="15" t="str">
        <x:v>Búsqueda/revisión sin coincidencia fiable</x:v>
      </x:c>
      <x:c r="I96" s="15" t="str">
        <x:v>Lugar de nacimiento localizado; lugar de defunción no hallado con suficiente fiabilidad.</x:v>
      </x:c>
      <x:c r="J96" s="15" t="str">
        <x:v>Localizar escritura matrimonial y protocolos de Navia/Pumarín.</x:v>
      </x:c>
    </x:row>
    <x:row r="97">
      <x:c r="A97" s="15" t="n">
        <x:v>96</x:v>
      </x:c>
      <x:c r="B97" s="15" t="str">
        <x:v>García Morán de Trelles</x:v>
      </x:c>
      <x:c r="C97" s="15" t="str">
        <x:v>Pumarín / Trelles (Asturias)</x:v>
      </x:c>
      <x:c r="D97" s="15" t="str">
        <x:v>LOCALIZADO / YA EN EXCEL</x:v>
      </x:c>
      <x:c r="E97" s="15" t="str">
        <x:v>https://dialnet.unirioja.es/descarga/articulo/4151486.pdf</x:v>
      </x:c>
      <x:c r="F97" s="134" t="str"/>
      <x:c r="G97" s="134" t="str">
        <x:v>FECHA/ENTIERRO DOCUMENTADOS; LUGAR DE MUERTE NO EXPLÍCITO</x:v>
      </x:c>
      <x:c r="H97" s="134" t="str">
        <x:v>https://dialnet.unirioja.es/descarga/articulo/3016531.pdf</x:v>
      </x:c>
      <x:c r="I97" s="134" t="str">
        <x:v>La fuente registra la muerte el 24/04/1680 en el libro de difuntos de Villacondide y el entierro en su iglesia, pero el pasaje no dice literalmente que falleciera dentro de Villacondide.</x:v>
      </x:c>
      <x:c r="J97" s="15" t="str">
        <x:v>Buscar partida de entierro y testamento cerrado citado en la investigación.</x:v>
      </x:c>
    </x:row>
    <x:row r="98">
      <x:c r="A98" s="15" t="n">
        <x:v>100</x:v>
      </x:c>
      <x:c r="B98" s="15" t="str">
        <x:v>Lucas Fernández de Trelles (presbítero)</x:v>
      </x:c>
      <x:c r="C98" s="15" t="str">
        <x:v>Pumarín / Trelles (Asturias)</x:v>
      </x:c>
      <x:c r="D98" s="15" t="str">
        <x:v>LOCALIZADO / YA EN EXCEL</x:v>
      </x:c>
      <x:c r="E98" s="15" t="str">
        <x:v>https://dialnet.unirioja.es/descarga/articulo/3016531.pdf</x:v>
      </x:c>
      <x:c r="F98" s="15" t="str"/>
      <x:c r="G98" s="15" t="str">
        <x:v>NO LOCALIZADO EN FUENTES ABIERTAS</x:v>
      </x:c>
      <x:c r="H98" s="15" t="str">
        <x:v>Búsqueda/revisión sin coincidencia fiable</x:v>
      </x:c>
      <x:c r="I98" s="15" t="str">
        <x:v>Lugar de nacimiento localizado; lugar de defunción no hallado con suficiente fiabilidad.</x:v>
      </x:c>
      <x:c r="J98" s="15" t="str">
        <x:v>Localizar protocolo de Alonso Morán de 06/08/1601, folio 3.</x:v>
      </x:c>
    </x:row>
    <x:row r="99">
      <x:c r="A99" s="15" t="n">
        <x:v>101</x:v>
      </x:c>
      <x:c r="B99" s="15" t="str">
        <x:v>María Alonso de Trelles</x:v>
      </x:c>
      <x:c r="C99" s="15" t="str">
        <x:v>Pumarín / Trelles (Asturias)</x:v>
      </x:c>
      <x:c r="D99" s="15" t="str">
        <x:v>LOCALIZADO / YA EN EXCEL</x:v>
      </x:c>
      <x:c r="E99" s="15" t="str">
        <x:v>https://dialnet.unirioja.es/descarga/articulo/3016531.pdf</x:v>
      </x:c>
      <x:c r="F99" s="15" t="str"/>
      <x:c r="G99" s="15" t="str">
        <x:v>NO LOCALIZADO EN FUENTES ABIERTAS</x:v>
      </x:c>
      <x:c r="H99" s="15" t="str">
        <x:v>Búsqueda/revisión sin coincidencia fiable</x:v>
      </x:c>
      <x:c r="I99" s="15" t="str">
        <x:v>Lugar de nacimiento localizado; lugar de defunción no hallado con suficiente fiabilidad.</x:v>
      </x:c>
      <x:c r="J99" s="15" t="str">
        <x:v>Consultar testamento de Alonso López Infanzón de 09/03/1616 y documentación d...</x:v>
      </x:c>
    </x:row>
    <x:row r="100">
      <x:c r="A100" s="15" t="n">
        <x:v>102</x:v>
      </x:c>
      <x:c r="B100" s="15" t="str">
        <x:v>Alonso López Infanzón</x:v>
      </x:c>
      <x:c r="C100" s="15" t="str">
        <x:v>Folgueras, Coaña (Asturias)</x:v>
      </x:c>
      <x:c r="D100" s="15" t="str">
        <x:v>LOCALIZADO / YA EN EXCEL</x:v>
      </x:c>
      <x:c r="E100" s="15" t="str">
        <x:v>https://dialnet.unirioja.es/descarga/articulo/3016531.pdf</x:v>
      </x:c>
      <x:c r="F100" s="15" t="str"/>
      <x:c r="G100" s="15" t="str">
        <x:v>NO LOCALIZADO EN FUENTES ABIERTAS</x:v>
      </x:c>
      <x:c r="H100" s="15" t="str">
        <x:v>Búsqueda/revisión sin coincidencia fiable</x:v>
      </x:c>
      <x:c r="I100" s="15" t="str">
        <x:v>Lugar de nacimiento localizado; lugar de defunción no hallado con suficiente fiabilidad.</x:v>
      </x:c>
      <x:c r="J100" s="15" t="str">
        <x:v>Buscar el testamento original y partida de entierro en Santiago de Folgueras.</x:v>
      </x:c>
    </x:row>
    <x:row r="101">
      <x:c r="A101" s="15" t="n">
        <x:v>103</x:v>
      </x:c>
      <x:c r="B101" s="15" t="str">
        <x:v>Teresa Díaz de Trelles Infanzón</x:v>
      </x:c>
      <x:c r="C101" s="15" t="str">
        <x:v>Pumarín / Trelles (Asturias)</x:v>
      </x:c>
      <x:c r="D101" s="15" t="str">
        <x:v>LOCALIZADO / YA EN EXCEL</x:v>
      </x:c>
      <x:c r="E101" s="15" t="str">
        <x:v>https://dialnet.unirioja.es/descarga/articulo/4151486.pdf</x:v>
      </x:c>
      <x:c r="F101" s="15" t="str"/>
      <x:c r="G101" s="15" t="str">
        <x:v>NO LOCALIZADO EN FUENTES ABIERTAS</x:v>
      </x:c>
      <x:c r="H101" s="15" t="str">
        <x:v>Búsqueda/revisión sin coincidencia fiable</x:v>
      </x:c>
      <x:c r="I101" s="15" t="str">
        <x:v>Lugar de nacimiento localizado; lugar de defunción no hallado con suficiente fiabilidad.</x:v>
      </x:c>
      <x:c r="J101" s="15" t="str">
        <x:v>Buscar matrimonio y padrones de Talarén/Navia.</x:v>
      </x:c>
    </x:row>
    <x:row r="102">
      <x:c r="A102" s="15" t="n">
        <x:v>104</x:v>
      </x:c>
      <x:c r="B102" s="15" t="str">
        <x:v>Diego Pérez de Trelles Pumarín y Navia</x:v>
      </x:c>
      <x:c r="C102" s="15" t="str">
        <x:v>Talarén / Navia (Asturias)</x:v>
      </x:c>
      <x:c r="D102" s="15" t="str">
        <x:v>LOCALIZADO / YA EN EXCEL</x:v>
      </x:c>
      <x:c r="E102" s="15" t="str">
        <x:v>https://dialnet.unirioja.es/descarga/articulo/4151486.pdf</x:v>
      </x:c>
      <x:c r="F102" s="15" t="str"/>
      <x:c r="G102" s="15" t="str">
        <x:v>NO LOCALIZADO EN FUENTES ABIERTAS</x:v>
      </x:c>
      <x:c r="H102" s="15" t="str">
        <x:v>Búsqueda/revisión sin coincidencia fiable</x:v>
      </x:c>
      <x:c r="I102" s="15" t="str">
        <x:v>Lugar de nacimiento localizado; lugar de defunción no hallado con suficiente fiabilidad.</x:v>
      </x:c>
      <x:c r="J102" s="15" t="str">
        <x:v>Consultar padrones de Talarén/Navia y escrituras de la casa.</x:v>
      </x:c>
    </x:row>
    <x:row r="103">
      <x:c r="A103" s="15" t="n">
        <x:v>105</x:v>
      </x:c>
      <x:c r="B103" s="15" t="str">
        <x:v>Diego Rodríguez de Trelles</x:v>
      </x:c>
      <x:c r="C103" s="15" t="str">
        <x:v>Trelles / Villar (Asturias)</x:v>
      </x:c>
      <x:c r="D103" s="15" t="str">
        <x:v>LOCALIZADO / YA EN EXCEL</x:v>
      </x:c>
      <x:c r="E103" s="15" t="str">
        <x:v>https://dialnet.unirioja.es/descarga/articulo/3016531.pdf</x:v>
      </x:c>
      <x:c r="F103" s="15" t="str"/>
      <x:c r="G103" s="15" t="str">
        <x:v>NO LOCALIZADO EN FUENTES ABIERTAS</x:v>
      </x:c>
      <x:c r="H103" s="15" t="str">
        <x:v>Búsqueda/revisión sin coincidencia fiable</x:v>
      </x:c>
      <x:c r="I103" s="15" t="str">
        <x:v>Lugar de nacimiento localizado; lugar de defunción no hallado con suficiente fiabilidad.</x:v>
      </x:c>
      <x:c r="J103" s="15" t="str">
        <x:v>Revisar los padrones originales de 1524–1554 para comprobar si incluyen edad,...</x:v>
      </x:c>
    </x:row>
    <x:row r="104">
      <x:c r="A104" s="15" t="n">
        <x:v>106</x:v>
      </x:c>
      <x:c r="B104" s="15" t="str">
        <x:v>Lope Méndez de Trelles (hijo de Fernando Fernández)</x:v>
      </x:c>
      <x:c r="C104" s="15" t="str">
        <x:v>Pumarín / Trelles (Asturias)</x:v>
      </x:c>
      <x:c r="D104" s="15" t="str">
        <x:v>LOCALIZADO / YA EN EXCEL</x:v>
      </x:c>
      <x:c r="E104" s="15" t="str">
        <x:v>https://dialnet.unirioja.es/descarga/articulo/3016531.pdf</x:v>
      </x:c>
      <x:c r="F104" s="15" t="str"/>
      <x:c r="G104" s="15" t="str">
        <x:v>NO LOCALIZADO EN FUENTES ABIERTAS</x:v>
      </x:c>
      <x:c r="H104" s="15" t="str">
        <x:v>Búsqueda/revisión sin coincidencia fiable</x:v>
      </x:c>
      <x:c r="I104" s="15" t="str">
        <x:v>Lugar de nacimiento localizado; lugar de defunción no hallado con suficiente fiabilidad.</x:v>
      </x:c>
      <x:c r="J104" s="15" t="str">
        <x:v>Seguir en padrones de 1590–1603 y protocolos para matrimonio/descendencia.</x:v>
      </x:c>
    </x:row>
    <x:row r="105">
      <x:c r="A105" s="15" t="n">
        <x:v>107</x:v>
      </x:c>
      <x:c r="B105" s="15" t="str">
        <x:v>Juan García (hijo de Fernando Fernández de Trelles)</x:v>
      </x:c>
      <x:c r="C105" s="15" t="str">
        <x:v>Pumarín / Trelles (Asturias)</x:v>
      </x:c>
      <x:c r="D105" s="15" t="str">
        <x:v>LOCALIZADO / YA EN EXCEL</x:v>
      </x:c>
      <x:c r="E105" s="15" t="str">
        <x:v>https://dialnet.unirioja.es/descarga/articulo/3016531.pdf</x:v>
      </x:c>
      <x:c r="F105" s="15" t="str"/>
      <x:c r="G105" s="15" t="str">
        <x:v>NO LOCALIZADO EN FUENTES ABIERTAS</x:v>
      </x:c>
      <x:c r="H105" s="15" t="str">
        <x:v>Búsqueda/revisión sin coincidencia fiable</x:v>
      </x:c>
      <x:c r="I105" s="15" t="str">
        <x:v>Lugar de nacimiento localizado; lugar de defunción no hallado con suficiente fiabilidad.</x:v>
      </x:c>
      <x:c r="J105" s="15" t="str">
        <x:v>Buscar protocolos y padrones posteriores para fijar apellido completo y desce...</x:v>
      </x:c>
    </x:row>
    <x:row r="106">
      <x:c r="A106" s="15" t="n">
        <x:v>108</x:v>
      </x:c>
      <x:c r="B106" s="15" t="str">
        <x:v>Domingo Pérez de Trelles</x:v>
      </x:c>
      <x:c r="C106" s="15" t="str">
        <x:v>Trelles (Asturias)</x:v>
      </x:c>
      <x:c r="D106" s="15" t="str">
        <x:v>LOCALIZADO / YA EN EXCEL</x:v>
      </x:c>
      <x:c r="E106" s="15" t="str">
        <x:v>https://dialnet.unirioja.es/descarga/articulo/3016531.pdf</x:v>
      </x:c>
      <x:c r="F106" s="15" t="str"/>
      <x:c r="G106" s="15" t="str">
        <x:v>NO LOCALIZADO EN FUENTES ABIERTAS</x:v>
      </x:c>
      <x:c r="H106" s="15" t="str">
        <x:v>Búsqueda/revisión sin coincidencia fiable</x:v>
      </x:c>
      <x:c r="I106" s="15" t="str">
        <x:v>Lugar de nacimiento localizado; lugar de defunción no hallado con suficiente fiabilidad.</x:v>
      </x:c>
      <x:c r="J106" s="15" t="str">
        <x:v>Buscar matrimonio y descendencia en protocolos de Castropol/Trelles.</x:v>
      </x:c>
    </x:row>
    <x:row r="107">
      <x:c r="A107" s="15" t="n">
        <x:v>109</x:v>
      </x:c>
      <x:c r="B107" s="15" t="str">
        <x:v>Fernando Fernández de Trelles (hijo homónimo)</x:v>
      </x:c>
      <x:c r="C107" s="15" t="str">
        <x:v>Trelles (Asturias)</x:v>
      </x:c>
      <x:c r="D107" s="15" t="str">
        <x:v>LOCALIZADO / YA EN EXCEL</x:v>
      </x:c>
      <x:c r="E107" s="15" t="str">
        <x:v>https://dialnet.unirioja.es/descarga/articulo/3016531.pdf</x:v>
      </x:c>
      <x:c r="F107" s="15" t="str"/>
      <x:c r="G107" s="15" t="str">
        <x:v>NO LOCALIZADO EN FUENTES ABIERTAS</x:v>
      </x:c>
      <x:c r="H107" s="15" t="str">
        <x:v>Búsqueda/revisión sin coincidencia fiable</x:v>
      </x:c>
      <x:c r="I107" s="15" t="str">
        <x:v>Lugar de nacimiento localizado; lugar de defunción no hallado con suficiente fiabilidad.</x:v>
      </x:c>
      <x:c r="J107" s="15" t="str">
        <x:v>Cruzar padrones con protocolos para evitar confusión padre/hijo.</x:v>
      </x:c>
    </x:row>
    <x:row r="108">
      <x:c r="A108" s="15" t="n">
        <x:v>110</x:v>
      </x:c>
      <x:c r="B108" s="15" t="str">
        <x:v>Marcos Fernández de Trelles</x:v>
      </x:c>
      <x:c r="C108" s="15" t="str">
        <x:v>Trelles (Asturias)</x:v>
      </x:c>
      <x:c r="D108" s="15" t="str">
        <x:v>LOCALIZADO / YA EN EXCEL</x:v>
      </x:c>
      <x:c r="E108" s="15" t="str">
        <x:v>https://dialnet.unirioja.es/descarga/articulo/3016531.pdf</x:v>
      </x:c>
      <x:c r="F108" s="15" t="str"/>
      <x:c r="G108" s="15" t="str">
        <x:v>NO LOCALIZADO EN FUENTES ABIERTAS</x:v>
      </x:c>
      <x:c r="H108" s="15" t="str">
        <x:v>Búsqueda/revisión sin coincidencia fiable</x:v>
      </x:c>
      <x:c r="I108" s="15" t="str">
        <x:v>Lugar de nacimiento localizado; lugar de defunción no hallado con suficiente fiabilidad.</x:v>
      </x:c>
      <x:c r="J108" s="15" t="str">
        <x:v>Buscar expediente eclesiástico o protocolos notariales para identificar su tr...</x:v>
      </x:c>
    </x:row>
    <x:row r="109">
      <x:c r="A109" s="15" t="n">
        <x:v>111</x:v>
      </x:c>
      <x:c r="B109" s="15" t="str">
        <x:v>Lucas Fernández Infanzón (esposo de María Álvarez, s. XVII)</x:v>
      </x:c>
      <x:c r="C109" s="15" t="str">
        <x:v>Coaña / occidente de Asturias</x:v>
      </x:c>
      <x:c r="D109" s="15" t="str">
        <x:v>LOCALIZADO / YA EN EXCEL</x:v>
      </x:c>
      <x:c r="E109" s="15" t="str">
        <x:v>https://dialnet.unirioja.es/descarga/articulo/3016531.pdf</x:v>
      </x:c>
      <x:c r="F109" s="15" t="str"/>
      <x:c r="G109" s="15" t="str">
        <x:v>NO LOCALIZADO EN FUENTES ABIERTAS</x:v>
      </x:c>
      <x:c r="H109" s="15" t="str">
        <x:v>Búsqueda/revisión sin coincidencia fiable</x:v>
      </x:c>
      <x:c r="I109" s="15" t="str">
        <x:v>Lugar de nacimiento localizado; lugar de defunción no hallado con suficiente fiabilidad.</x:v>
      </x:c>
      <x:c r="J109" s="15" t="str">
        <x:v>Localizar la escritura de dote de 12/09/1623 para conocer padres y lugar de o...</x:v>
      </x:c>
    </x:row>
    <x:row r="110">
      <x:c r="A110" s="15" t="n">
        <x:v>112</x:v>
      </x:c>
      <x:c r="B110" s="15" t="str">
        <x:v>Suero González de Trelles (posible padre de Fernando Fernández)</x:v>
      </x:c>
      <x:c r="C110" s="15" t="str">
        <x:v>Pumarín (Asturias)</x:v>
      </x:c>
      <x:c r="D110" s="15" t="str">
        <x:v>LOCALIZADO / YA EN EXCEL</x:v>
      </x:c>
      <x:c r="E110" s="15" t="str">
        <x:v>https://www.bne.es/es/Micrositios/Guias/Genealogia/Documentacion_archivistica...</x:v>
      </x:c>
      <x:c r="F110" s="15" t="str"/>
      <x:c r="G110" s="15" t="str">
        <x:v>NO LOCALIZADO EN FUENTES ABIERTAS</x:v>
      </x:c>
      <x:c r="H110" s="15" t="str">
        <x:v>Búsqueda/revisión sin coincidencia fiable</x:v>
      </x:c>
      <x:c r="I110" s="15" t="str">
        <x:v>Lugar de nacimiento localizado; lugar de defunción no hallado con suficiente fiabilidad.</x:v>
      </x:c>
      <x:c r="J110" s="15" t="str">
        <x:v>Consultar directamente RAH, Colección Salazar y Castro, D-45, fols. 174-181, ...</x:v>
      </x:c>
    </x:row>
    <x:row r="111">
      <x:c r="A111" s="15" t="n">
        <x:v>113</x:v>
      </x:c>
      <x:c r="B111" s="15" t="str">
        <x:v>Marcos González de Trelles</x:v>
      </x:c>
      <x:c r="C111" s="15" t="str">
        <x:v>Trelles (Asturias)</x:v>
      </x:c>
      <x:c r="D111" s="15" t="str">
        <x:v>LOCALIZADO / YA EN EXCEL</x:v>
      </x:c>
      <x:c r="E111" s="15" t="str">
        <x:v>https://es.scribd.com/document/705768310/Dialnet-UnaInvestigacionGenealogica-...</x:v>
      </x:c>
      <x:c r="F111" s="15" t="str"/>
      <x:c r="G111" s="15" t="str">
        <x:v>NO LOCALIZADO EN FUENTES ABIERTAS</x:v>
      </x:c>
      <x:c r="H111" s="15" t="str">
        <x:v>Búsqueda/revisión sin coincidencia fiable</x:v>
      </x:c>
      <x:c r="I111" s="15" t="str">
        <x:v>Lugar de nacimiento localizado; lugar de defunción no hallado con suficiente fiabilidad.</x:v>
      </x:c>
      <x:c r="J111" s="15" t="str">
        <x:v>Consultar padrones originales y expedientes eclesiásticos de Serandinas.</x:v>
      </x:c>
    </x:row>
    <x:row r="112">
      <x:c r="A112" s="15" t="n">
        <x:v>114</x:v>
      </x:c>
      <x:c r="B112" s="15" t="str">
        <x:v>Diego García de Trelles</x:v>
      </x:c>
      <x:c r="C112" s="15" t="str">
        <x:v>Trelles (Asturias)</x:v>
      </x:c>
      <x:c r="D112" s="15" t="str">
        <x:v>LOCALIZADO / YA EN EXCEL</x:v>
      </x:c>
      <x:c r="E112" s="15" t="str">
        <x:v>https://es.scribd.com/document/705768310/Dialnet-UnaInvestigacionGenealogica-...</x:v>
      </x:c>
      <x:c r="F112" s="15" t="str"/>
      <x:c r="G112" s="15" t="str">
        <x:v>NO LOCALIZADO EN FUENTES ABIERTAS</x:v>
      </x:c>
      <x:c r="H112" s="15" t="str">
        <x:v>Búsqueda/revisión sin coincidencia fiable</x:v>
      </x:c>
      <x:c r="I112" s="15" t="str">
        <x:v>Lugar de nacimiento localizado; lugar de defunción no hallado con suficiente fiabilidad.</x:v>
      </x:c>
      <x:c r="J112" s="15" t="str">
        <x:v>Buscar matrimonio, testamento y posibles hijos en protocolos de Castropol/Navia.</x:v>
      </x:c>
    </x:row>
    <x:row r="113">
      <x:c r="A113" s="15" t="n">
        <x:v>115</x:v>
      </x:c>
      <x:c r="B113" s="15" t="str">
        <x:v>Gonzalo González de Trelles</x:v>
      </x:c>
      <x:c r="C113" s="15" t="str">
        <x:v>Trelles / Villacondide (Asturias)</x:v>
      </x:c>
      <x:c r="D113" s="15" t="str">
        <x:v>LOCALIZADO / YA EN EXCEL</x:v>
      </x:c>
      <x:c r="E113" s="15" t="str">
        <x:v>https://es.scribd.com/document/705768310/Dialnet-UnaInvestigacionGenealogica-...</x:v>
      </x:c>
      <x:c r="F113" s="15" t="str"/>
      <x:c r="G113" s="15" t="str">
        <x:v>NO LOCALIZADO EN FUENTES ABIERTAS</x:v>
      </x:c>
      <x:c r="H113" s="15" t="str">
        <x:v>Búsqueda/revisión sin coincidencia fiable</x:v>
      </x:c>
      <x:c r="I113" s="15" t="str">
        <x:v>Lugar de nacimiento localizado; lugar de defunción no hallado con suficiente fiabilidad.</x:v>
      </x:c>
      <x:c r="J113" s="15" t="str">
        <x:v>Consultar libros eclesiásticos de Villacondide y Trelles.</x:v>
      </x:c>
    </x:row>
    <x:row r="114">
      <x:c r="A114" s="15" t="n">
        <x:v>116</x:v>
      </x:c>
      <x:c r="B114" s="15" t="str">
        <x:v>Dominga López de Trelles</x:v>
      </x:c>
      <x:c r="C114" s="15" t="str">
        <x:v>Villacondide / Trelles (Asturias)</x:v>
      </x:c>
      <x:c r="D114" s="15" t="str">
        <x:v>LOCALIZADO / YA EN EXCEL</x:v>
      </x:c>
      <x:c r="E114" s="15" t="str">
        <x:v>https://es.scribd.com/document/705768310/Dialnet-UnaInvestigacionGenealogica-...</x:v>
      </x:c>
      <x:c r="F114" s="15" t="str"/>
      <x:c r="G114" s="15" t="str">
        <x:v>NO LOCALIZADO EN FUENTES ABIERTAS</x:v>
      </x:c>
      <x:c r="H114" s="15" t="str">
        <x:v>Búsqueda/revisión sin coincidencia fiable</x:v>
      </x:c>
      <x:c r="I114" s="15" t="str">
        <x:v>Lugar de nacimiento localizado; lugar de defunción no hallado con suficiente fiabilidad.</x:v>
      </x:c>
      <x:c r="J114" s="15" t="str">
        <x:v>Revisar matrimonio de García Morán y Dominga López y bautismos de sus hijos e...</x:v>
      </x:c>
    </x:row>
    <x:row r="115">
      <x:c r="A115" s="15" t="n">
        <x:v>117</x:v>
      </x:c>
      <x:c r="B115" s="15" t="str">
        <x:v>Alonso López de Trelles (padre de Dominga)</x:v>
      </x:c>
      <x:c r="C115" s="15" t="str">
        <x:v>Trelles / Villacondide (Asturias)</x:v>
      </x:c>
      <x:c r="D115" s="15" t="str">
        <x:v>LOCALIZADO / YA EN EXCEL</x:v>
      </x:c>
      <x:c r="E115" s="15" t="str">
        <x:v>https://es.scribd.com/document/705768310/Dialnet-UnaInvestigacionGenealogica-...</x:v>
      </x:c>
      <x:c r="F115" s="15" t="str"/>
      <x:c r="G115" s="15" t="str">
        <x:v>NO LOCALIZADO EN FUENTES ABIERTAS</x:v>
      </x:c>
      <x:c r="H115" s="15" t="str">
        <x:v>Búsqueda/revisión sin coincidencia fiable</x:v>
      </x:c>
      <x:c r="I115" s="15" t="str">
        <x:v>Lugar de nacimiento localizado; lugar de defunción no hallado con suficiente fiabilidad.</x:v>
      </x:c>
      <x:c r="J115" s="15" t="str">
        <x:v>Cruzar la partida de bautismo de María (1639) con el padrón de 1620 y el expe...</x:v>
      </x:c>
    </x:row>
    <x:row r="116">
      <x:c r="A116" s="15" t="n">
        <x:v>118</x:v>
      </x:c>
      <x:c r="B116" s="15" t="str">
        <x:v>Alonso Morán de Trelles</x:v>
      </x:c>
      <x:c r="C116" s="15" t="str">
        <x:v>Villacondide (Asturias)</x:v>
      </x:c>
      <x:c r="D116" s="15" t="str">
        <x:v>LOCALIZADO / YA EN EXCEL</x:v>
      </x:c>
      <x:c r="E116" s="15" t="str">
        <x:v>https://es.scribd.com/document/705768310/Dialnet-UnaInvestigacionGenealogica-...</x:v>
      </x:c>
      <x:c r="F116" s="134" t="str"/>
      <x:c r="G116" s="134" t="str">
        <x:v>FECHA/ENTIERRO DOCUMENTADOS; LUGAR DE MUERTE NO EXPLÍCITO</x:v>
      </x:c>
      <x:c r="H116" s="134" t="str">
        <x:v>https://dialnet.unirioja.es/descarga/articulo/3016531.pdf</x:v>
      </x:c>
      <x:c r="I116" s="134" t="str">
        <x:v>La fecha 29/11/1697 consta en el libro de difuntos de Villacondide y el entierro fue allí el día 30; el texto citado no expresa literalmente el lugar físico del fallecimiento.</x:v>
      </x:c>
      <x:c r="J116" s="15" t="str">
        <x:v>Consultar libro de bautizados de Villacondide, fol. 27v, para determinar si c...</x:v>
      </x:c>
    </x:row>
    <x:row r="117">
      <x:c r="A117" s="15" t="n">
        <x:v>119</x:v>
      </x:c>
      <x:c r="B117" s="15" t="str">
        <x:v>García Morán de Trelles (hijo)</x:v>
      </x:c>
      <x:c r="C117" s="15" t="str">
        <x:v>Villacondide (Asturias)</x:v>
      </x:c>
      <x:c r="D117" s="15" t="str">
        <x:v>LOCALIZADO / YA EN EXCEL</x:v>
      </x:c>
      <x:c r="E117" s="15" t="str">
        <x:v>https://es.scribd.com/document/705768310/Dialnet-UnaInvestigacionGenealogica-...</x:v>
      </x:c>
      <x:c r="F117" s="15" t="str"/>
      <x:c r="G117" s="15" t="str">
        <x:v>NO LOCALIZADO EN FUENTES ABIERTAS</x:v>
      </x:c>
      <x:c r="H117" s="15" t="str">
        <x:v>Búsqueda/revisión sin coincidencia fiable</x:v>
      </x:c>
      <x:c r="I117" s="15" t="str">
        <x:v>Lugar de nacimiento localizado; lugar de defunción no hallado con suficiente fiabilidad.</x:v>
      </x:c>
      <x:c r="J117" s="15" t="str">
        <x:v>Consultar libro de bautizados de Villacondide para fecha de nacimiento y padr...</x:v>
      </x:c>
    </x:row>
    <x:row r="118">
      <x:c r="A118" s="15" t="n">
        <x:v>120</x:v>
      </x:c>
      <x:c r="B118" s="15" t="str">
        <x:v>María Morán de Trelles</x:v>
      </x:c>
      <x:c r="C118" s="15" t="str">
        <x:v>Villacondide (Asturias)</x:v>
      </x:c>
      <x:c r="D118" s="15" t="str">
        <x:v>LOCALIZADO / YA EN EXCEL</x:v>
      </x:c>
      <x:c r="E118" s="15" t="str">
        <x:v>https://es.scribd.com/document/705768310/Dialnet-UnaInvestigacionGenealogica-...</x:v>
      </x:c>
      <x:c r="F118" s="15" t="str"/>
      <x:c r="G118" s="15" t="str">
        <x:v>NO LOCALIZADO EN FUENTES ABIERTAS</x:v>
      </x:c>
      <x:c r="H118" s="15" t="str">
        <x:v>Búsqueda/revisión sin coincidencia fiable</x:v>
      </x:c>
      <x:c r="I118" s="15" t="str">
        <x:v>Lugar de nacimiento localizado; lugar de defunción no hallado con suficiente fiabilidad.</x:v>
      </x:c>
      <x:c r="J118" s="15" t="str">
        <x:v>Consultar libro de bautizados para fecha exacta de nacimiento y confirmar par...</x:v>
      </x:c>
    </x:row>
    <x:row r="119">
      <x:c r="A119" s="15" t="n">
        <x:v>121</x:v>
      </x:c>
      <x:c r="B119" s="15" t="str">
        <x:v>Gómez Ares de Trelles</x:v>
      </x:c>
      <x:c r="C119" s="15" t="str">
        <x:v>Trelles (Asturias)</x:v>
      </x:c>
      <x:c r="D119" s="15" t="str">
        <x:v>LOCALIZADO / YA EN EXCEL</x:v>
      </x:c>
      <x:c r="E119" s="15" t="str">
        <x:v>https://dialnet.unirioja.es/descarga/articulo/3016531.pdf</x:v>
      </x:c>
      <x:c r="F119" s="15" t="str"/>
      <x:c r="G119" s="15" t="str">
        <x:v>NO LOCALIZADO EN FUENTES ABIERTAS</x:v>
      </x:c>
      <x:c r="H119" s="15" t="str">
        <x:v>Búsqueda/revisión sin coincidencia fiable</x:v>
      </x:c>
      <x:c r="I119" s="140" t="str">
        <x:v>Lugar de nacimiento localizado; lugar de defunción no hallado con suficiente fiabilidad. 20ª pasada: posible identificación con «Gómez Arias de Trelles», padre tradicional de Catalina Suárez (ID168). No aporta todavía lugar de nacimiento o defunción.</x:v>
      </x:c>
      <x:c r="J119" s="15" t="str">
        <x:v>16ª pasada: búsqueda exacta en Gonzalo Anes, PARES indexado y web histórica s...</x:v>
      </x:c>
    </x:row>
    <x:row r="120">
      <x:c r="A120" s="15" t="n">
        <x:v>122</x:v>
      </x:c>
      <x:c r="B120" s="15" t="str">
        <x:v>García Gómez de Trelles</x:v>
      </x:c>
      <x:c r="C120" s="15" t="str">
        <x:v>Trelles (Asturias)</x:v>
      </x:c>
      <x:c r="D120" s="15" t="str">
        <x:v>LOCALIZADO / YA EN EXCEL</x:v>
      </x:c>
      <x:c r="E120" s="15" t="str">
        <x:v>https://dialnet.unirioja.es/descarga/articulo/3016531.pdf</x:v>
      </x:c>
      <x:c r="F120" s="15" t="str"/>
      <x:c r="G120" s="15" t="str">
        <x:v>NO LOCALIZADO EN FUENTES ABIERTAS</x:v>
      </x:c>
      <x:c r="H120" s="15" t="str">
        <x:v>Búsqueda/revisión sin coincidencia fiable</x:v>
      </x:c>
      <x:c r="I120" s="15" t="str">
        <x:v>Lugar de nacimiento localizado; lugar de defunción no hallado con suficiente fiabilidad.</x:v>
      </x:c>
      <x:c r="J120" s="15" t="str">
        <x:v>16ª pasada: no aparece una filiación adicional en las fuentes abiertas. La co...</x:v>
      </x:c>
    </x:row>
    <x:row r="121">
      <x:c r="A121" s="15" t="n">
        <x:v>125</x:v>
      </x:c>
      <x:c r="B121" s="15" t="str">
        <x:v>García González de Pumarín</x:v>
      </x:c>
      <x:c r="C121" s="15" t="str">
        <x:v>Pumarín, parroquia de Trelles (Asturias)</x:v>
      </x:c>
      <x:c r="D121" s="15" t="str">
        <x:v>LOCALIZADO / YA EN EXCEL</x:v>
      </x:c>
      <x:c r="E121" s="15" t="str">
        <x:v>https://dialnet.unirioja.es/descarga/articulo/3016531.pdf</x:v>
      </x:c>
      <x:c r="F121" s="15" t="str"/>
      <x:c r="G121" s="15" t="str">
        <x:v>NO LOCALIZADO EN FUENTES ABIERTAS</x:v>
      </x:c>
      <x:c r="H121" s="15" t="str">
        <x:v>Búsqueda/revisión sin coincidencia fiable</x:v>
      </x:c>
      <x:c r="I121" s="15" t="str">
        <x:v>Lugar de nacimiento localizado; lugar de defunción no hallado con suficiente fiabilidad.</x:v>
      </x:c>
      <x:c r="J121" s="15" t="str">
        <x:v>16ª pasada: búsquedas exactas y revisión de las transcripciones publicadas no...</x:v>
      </x:c>
    </x:row>
    <x:row r="122">
      <x:c r="A122" s="15" t="n">
        <x:v>126</x:v>
      </x:c>
      <x:c r="B122" s="15" t="str">
        <x:v>Pedro de Pumarín (hermano de García González)</x:v>
      </x:c>
      <x:c r="C122" s="15" t="str">
        <x:v>Pumarín, parroquia de Trelles (Asturias)</x:v>
      </x:c>
      <x:c r="D122" s="15" t="str">
        <x:v>LOCALIZADO / YA EN EXCEL</x:v>
      </x:c>
      <x:c r="E122" s="15" t="str">
        <x:v>https://dialnet.unirioja.es/descarga/articulo/3016531.pdf</x:v>
      </x:c>
      <x:c r="F122" s="15" t="str"/>
      <x:c r="G122" s="15" t="str">
        <x:v>NO LOCALIZADO EN FUENTES ABIERTAS</x:v>
      </x:c>
      <x:c r="H122" s="15" t="str">
        <x:v>Búsqueda/revisión sin coincidencia fiable</x:v>
      </x:c>
      <x:c r="I122" s="15" t="str">
        <x:v>Lugar de nacimiento localizado; lugar de defunción no hallado con suficiente fiabilidad.</x:v>
      </x:c>
      <x:c r="J122" s="15" t="str">
        <x:v>16ª pasada: búsquedas exactas y revisión de las transcripciones publicadas no...</x:v>
      </x:c>
    </x:row>
    <x:row r="123">
      <x:c r="A123" s="15" t="n">
        <x:v>127</x:v>
      </x:c>
      <x:c r="B123" s="15" t="str">
        <x:v>Juan Alonso de Trelles</x:v>
      </x:c>
      <x:c r="C123" s="15" t="str">
        <x:v>Trelles (Asturias)</x:v>
      </x:c>
      <x:c r="D123" s="15" t="str">
        <x:v>LOCALIZADO / YA EN EXCEL</x:v>
      </x:c>
      <x:c r="E123" s="15" t="str">
        <x:v>https://dialnet.unirioja.es/descarga/articulo/3016531.pdf</x:v>
      </x:c>
      <x:c r="F123" s="15" t="str"/>
      <x:c r="G123" s="15" t="str">
        <x:v>NO LOCALIZADO EN FUENTES ABIERTAS</x:v>
      </x:c>
      <x:c r="H123" s="15" t="str">
        <x:v>Búsqueda/revisión sin coincidencia fiable</x:v>
      </x:c>
      <x:c r="I123" s="15" t="str">
        <x:v>Lugar de nacimiento localizado; lugar de defunción no hallado con suficiente fiabilidad.</x:v>
      </x:c>
      <x:c r="J123" s="15" t="str">
        <x:v>Reconstruir los Juan Alonso/Juan de Luera de 1542, 1554 y 1638 para fijar las...</x:v>
      </x:c>
    </x:row>
    <x:row r="124">
      <x:c r="A124" s="15" t="n">
        <x:v>128</x:v>
      </x:c>
      <x:c r="B124" s="15" t="str">
        <x:v>Fernando Fernández de Pumarín</x:v>
      </x:c>
      <x:c r="C124" s="15" t="str">
        <x:v>Pumarín, parroquia de Trelles (Asturias)</x:v>
      </x:c>
      <x:c r="D124" s="15" t="str">
        <x:v>LOCALIZADO / YA EN EXCEL</x:v>
      </x:c>
      <x:c r="E124" s="15" t="str">
        <x:v>https://dialnet.unirioja.es/descarga/articulo/3016531.pdf</x:v>
      </x:c>
      <x:c r="F124" s="15" t="str"/>
      <x:c r="G124" s="15" t="str">
        <x:v>NO LOCALIZADO EN FUENTES ABIERTAS</x:v>
      </x:c>
      <x:c r="H124" s="15" t="str">
        <x:v>Búsqueda/revisión sin coincidencia fiable</x:v>
      </x:c>
      <x:c r="I124" s="15" t="str">
        <x:v>Lugar de nacimiento localizado; lugar de defunción no hallado con suficiente fiabilidad.</x:v>
      </x:c>
      <x:c r="J124" s="15" t="str">
        <x:v>Comparar padrón de 1554 con los de 1578/1584 y con escrituras de Pumarín.</x:v>
      </x:c>
    </x:row>
    <x:row r="125">
      <x:c r="A125" s="15" t="n">
        <x:v>129</x:v>
      </x:c>
      <x:c r="B125" s="15" t="str">
        <x:v>Diego García de Trelles (tradición genealógica)</x:v>
      </x:c>
      <x:c r="C125" s="15" t="str">
        <x:v>Asturias</x:v>
      </x:c>
      <x:c r="D125" s="15" t="str">
        <x:v>LOCALIZADO / YA EN EXCEL</x:v>
      </x:c>
      <x:c r="E125" s="15" t="str">
        <x:v>https://idus.us.es/server/api/core/bitstreams/4d5a11bd-b8ae-4c90-b1c9-2c58368...</x:v>
      </x:c>
      <x:c r="F125" s="15" t="str">
        <x:v>Aljubarrota (Portugal) ?</x:v>
      </x:c>
      <x:c r="G125" s="15" t="str">
        <x:v>LOCALIZADO / YA EN EXCEL</x:v>
      </x:c>
      <x:c r="H125" s="15" t="str">
        <x:v>https://idus.us.es/server/api/core/bitstreams/4d5a11bd-b8ae-4c90-b1c9-2c58368...</x:v>
      </x:c>
      <x:c r="I125" s="15" t="str">
        <x:v>Constan ambos lugares en el Excel tras la revisión.</x:v>
      </x:c>
      <x:c r="J125" s="15" t="str">
        <x:v>No enlazar como rama probada salvo aparición en una fuente primaria medieval ...</x:v>
      </x:c>
    </x:row>
    <x:row r="126">
      <x:c r="A126" s="15" t="n">
        <x:v>130</x:v>
      </x:c>
      <x:c r="B126" s="15" t="str">
        <x:v>Mendo Díaz de Trelles (tradición genealógica)</x:v>
      </x:c>
      <x:c r="C126" s="15" t="str">
        <x:v>Asturias</x:v>
      </x:c>
      <x:c r="D126" s="15" t="str">
        <x:v>LOCALIZADO / YA EN EXCEL</x:v>
      </x:c>
      <x:c r="E126" s="15" t="str">
        <x:v>https://idus.us.es/server/api/core/bitstreams/4d5a11bd-b8ae-4c90-b1c9-2c58368...</x:v>
      </x:c>
      <x:c r="F126" s="15" t="str"/>
      <x:c r="G126" s="15" t="str">
        <x:v>NO LOCALIZADO EN FUENTES ABIERTAS</x:v>
      </x:c>
      <x:c r="H126" s="15" t="str">
        <x:v>Búsqueda/revisión sin coincidencia fiable</x:v>
      </x:c>
      <x:c r="I126" s="15" t="str">
        <x:v>Lugar de nacimiento localizado; lugar de defunción no hallado con suficiente fiabilidad.</x:v>
      </x:c>
      <x:c r="J126" s="15" t="str">
        <x:v>Buscar menciones independientes en documentación medieval del occidente de As...</x:v>
      </x:c>
    </x:row>
    <x:row r="127">
      <x:c r="A127" s="15" t="n">
        <x:v>131</x:v>
      </x:c>
      <x:c r="B127" s="15" t="str">
        <x:v>Garci Sánchez de Trelles (tradición genealógica)</x:v>
      </x:c>
      <x:c r="C127" s="15" t="str">
        <x:v>Castro de Pumarín / Trelles (Asturias)</x:v>
      </x:c>
      <x:c r="D127" s="15" t="str">
        <x:v>LOCALIZADO / YA EN EXCEL</x:v>
      </x:c>
      <x:c r="E127" s="15" t="str">
        <x:v>https://dialnet.unirioja.es/descarga/articulo/3016531.pdf</x:v>
      </x:c>
      <x:c r="F127" s="15" t="str"/>
      <x:c r="G127" s="15" t="str">
        <x:v>NO LOCALIZADO EN FUENTES ABIERTAS</x:v>
      </x:c>
      <x:c r="H127" s="15" t="str">
        <x:v>Búsqueda/revisión sin coincidencia fiable</x:v>
      </x:c>
      <x:c r="I127" s="15" t="str">
        <x:v>Lugar de nacimiento localizado; lugar de defunción no hallado con suficiente fiabilidad.</x:v>
      </x:c>
      <x:c r="J127" s="15" t="str">
        <x:v>No usar como conexión probada; buscar documentación patrimonial de Pumarín de...</x:v>
      </x:c>
    </x:row>
    <x:row r="128">
      <x:c r="A128" s="15" t="n">
        <x:v>132</x:v>
      </x:c>
      <x:c r="B128" s="15" t="str">
        <x:v>Lope Díaz de Trelles (tradición genealógica)</x:v>
      </x:c>
      <x:c r="C128" s="15" t="str">
        <x:v>Pumarín / Trelles (Asturias)</x:v>
      </x:c>
      <x:c r="D128" s="15" t="str">
        <x:v>LOCALIZADO / YA EN EXCEL</x:v>
      </x:c>
      <x:c r="E128" s="15" t="str">
        <x:v>https://dialnet.unirioja.es/descarga/articulo/3016531.pdf</x:v>
      </x:c>
      <x:c r="F128" s="15" t="str"/>
      <x:c r="G128" s="15" t="str">
        <x:v>NO LOCALIZADO EN FUENTES ABIERTAS</x:v>
      </x:c>
      <x:c r="H128" s="15" t="str">
        <x:v>Búsqueda/revisión sin coincidencia fiable</x:v>
      </x:c>
      <x:c r="I128" s="15" t="str">
        <x:v>Lugar de nacimiento localizado; lugar de defunción no hallado con suficiente fiabilidad.</x:v>
      </x:c>
      <x:c r="J128" s="15" t="str">
        <x:v>Buscar escrituras de propiedad, foros o pleitos del siglo XV.</x:v>
      </x:c>
    </x:row>
    <x:row r="129">
      <x:c r="A129" s="15" t="n">
        <x:v>133</x:v>
      </x:c>
      <x:c r="B129" s="15" t="str">
        <x:v>Rodrigo Díaz de Trelles</x:v>
      </x:c>
      <x:c r="C129" s="15" t="str">
        <x:v>Asturias occidental</x:v>
      </x:c>
      <x:c r="D129" s="15" t="str">
        <x:v>LOCALIZADO / YA EN EXCEL</x:v>
      </x:c>
      <x:c r="E129" s="15" t="str">
        <x:v>https://idus.us.es/server/api/core/bitstreams/4d5a11bd-b8ae-4c90-b1c9-2c58368...</x:v>
      </x:c>
      <x:c r="F129" s="15" t="str"/>
      <x:c r="G129" s="15" t="str">
        <x:v>NO LOCALIZADO EN FUENTES ABIERTAS</x:v>
      </x:c>
      <x:c r="H129" s="15" t="str">
        <x:v>Búsqueda/revisión sin coincidencia fiable</x:v>
      </x:c>
      <x:c r="I129" s="15" t="str">
        <x:v>Lugar de nacimiento localizado; lugar de defunción no hallado con suficiente fiabilidad.</x:v>
      </x:c>
      <x:c r="J129" s="15" t="str">
        <x:v>Buscar escrituras de Pumarín/Trelles anteriores a 1524, dotes y documentación...</x:v>
      </x:c>
    </x:row>
    <x:row r="130">
      <x:c r="A130" s="15" t="n">
        <x:v>134</x:v>
      </x:c>
      <x:c r="B130" s="15" t="str">
        <x:v>Ana Valledor</x:v>
      </x:c>
      <x:c r="C130" s="15" t="str">
        <x:v>Asturias occidental</x:v>
      </x:c>
      <x:c r="D130" s="15" t="str">
        <x:v>LOCALIZADO / YA EN EXCEL</x:v>
      </x:c>
      <x:c r="E130" s="15" t="str">
        <x:v>https://idus.us.es/server/api/core/bitstreams/4d5a11bd-b8ae-4c90-b1c9-2c58368...</x:v>
      </x:c>
      <x:c r="F130" s="15" t="str"/>
      <x:c r="G130" s="15" t="str">
        <x:v>NO LOCALIZADO EN FUENTES ABIERTAS</x:v>
      </x:c>
      <x:c r="H130" s="15" t="str">
        <x:v>Búsqueda/revisión sin coincidencia fiable</x:v>
      </x:c>
      <x:c r="I130" s="15" t="str">
        <x:v>Lugar de nacimiento localizado; lugar de defunción no hallado con suficiente fiabilidad.</x:v>
      </x:c>
      <x:c r="J130" s="15" t="str">
        <x:v>Buscar documentación de los Valledor y posibles capitulaciones matrimoniales ...</x:v>
      </x:c>
    </x:row>
    <x:row r="131">
      <x:c r="A131" s="15" t="n">
        <x:v>135</x:v>
      </x:c>
      <x:c r="B131" s="15" t="str">
        <x:v>Teresa García de Luera y Trelles (también Teresa Castrillón Valledor)</x:v>
      </x:c>
      <x:c r="C131" s="15" t="str">
        <x:v>Villacondide / Trelles (Asturias)</x:v>
      </x:c>
      <x:c r="D131" s="15" t="str">
        <x:v>LOCALIZADO / YA EN EXCEL</x:v>
      </x:c>
      <x:c r="E131" s="15" t="str">
        <x:v>https://dialnet.unirioja.es/descarga/articulo/4151486.pdf</x:v>
      </x:c>
      <x:c r="F131" s="15" t="str"/>
      <x:c r="G131" s="15" t="str">
        <x:v>NO LOCALIZADO EN FUENTES ABIERTAS</x:v>
      </x:c>
      <x:c r="H131" s="15" t="str">
        <x:v>Búsqueda/revisión sin coincidencia fiable</x:v>
      </x:c>
      <x:c r="I131" s="15" t="str">
        <x:v>Lugar de nacimiento localizado; lugar de defunción no hallado con suficiente fiabilidad.</x:v>
      </x:c>
      <x:c r="J131" s="15" t="str">
        <x:v>Consultar Archivo de la Universidad de Salamanca, expediente de Suero Antonio...</x:v>
      </x:c>
    </x:row>
    <x:row r="132">
      <x:c r="A132" s="15" t="n">
        <x:v>136</x:v>
      </x:c>
      <x:c r="B132" s="15" t="str">
        <x:v>Francisco López de Trelles Villamil</x:v>
      </x:c>
      <x:c r="C132" s="15" t="str">
        <x:v>Trelles / Villacondide (Asturias)</x:v>
      </x:c>
      <x:c r="D132" s="15" t="str">
        <x:v>LOCALIZADO / YA EN EXCEL</x:v>
      </x:c>
      <x:c r="E132" s="15" t="str">
        <x:v>https://dialnet.unirioja.es/descarga/articulo/4151486.pdf</x:v>
      </x:c>
      <x:c r="F132" s="15" t="str"/>
      <x:c r="G132" s="15" t="str">
        <x:v>NO LOCALIZADO EN FUENTES ABIERTAS</x:v>
      </x:c>
      <x:c r="H132" s="15" t="str">
        <x:v>Búsqueda/revisión sin coincidencia fiable</x:v>
      </x:c>
      <x:c r="I132" s="15" t="str">
        <x:v>Lugar de nacimiento localizado; lugar de defunción no hallado con suficiente fiabilidad.</x:v>
      </x:c>
      <x:c r="J132" s="15" t="str">
        <x:v>Consultar padrón 1632/1638 y libro de memorias pías de San Juan de Trelles.</x:v>
      </x:c>
    </x:row>
    <x:row r="133">
      <x:c r="A133" s="15" t="n">
        <x:v>137</x:v>
      </x:c>
      <x:c r="B133" s="15" t="str">
        <x:v>Ana López de Trelles</x:v>
      </x:c>
      <x:c r="C133" s="15" t="str">
        <x:v>Trelles / Villacondide (Asturias)</x:v>
      </x:c>
      <x:c r="D133" s="15" t="str">
        <x:v>LOCALIZADO / YA EN EXCEL</x:v>
      </x:c>
      <x:c r="E133" s="15" t="str">
        <x:v>https://dialnet.unirioja.es/descarga/articulo/4151486.pdf</x:v>
      </x:c>
      <x:c r="F133" s="15" t="str"/>
      <x:c r="G133" s="15" t="str">
        <x:v>NO LOCALIZADO EN FUENTES ABIERTAS</x:v>
      </x:c>
      <x:c r="H133" s="15" t="str">
        <x:v>Búsqueda/revisión sin coincidencia fiable</x:v>
      </x:c>
      <x:c r="I133" s="15" t="str">
        <x:v>Lugar de nacimiento localizado; lugar de defunción no hallado con suficiente fiabilidad.</x:v>
      </x:c>
      <x:c r="J133" s="15" t="str">
        <x:v>Consultar libro de bautizados de Villacondide, fol. 54v, y padrones familiares.</x:v>
      </x:c>
    </x:row>
    <x:row r="134">
      <x:c r="A134" s="15" t="n">
        <x:v>138</x:v>
      </x:c>
      <x:c r="B134" s="15" t="str">
        <x:v>María López de Trelles</x:v>
      </x:c>
      <x:c r="C134" s="15" t="str">
        <x:v>Trelles / Villacondide (Asturias)</x:v>
      </x:c>
      <x:c r="D134" s="15" t="str">
        <x:v>LOCALIZADO / YA EN EXCEL</x:v>
      </x:c>
      <x:c r="E134" s="15" t="str">
        <x:v>https://dialnet.unirioja.es/descarga/articulo/4151486.pdf</x:v>
      </x:c>
      <x:c r="F134" s="134" t="str"/>
      <x:c r="G134" s="134" t="str">
        <x:v>FECHA/ENTIERRO DOCUMENTADOS; LUGAR DE MUERTE NO EXPLÍCITO</x:v>
      </x:c>
      <x:c r="H134" s="134" t="str">
        <x:v>https://dialnet.unirioja.es/descarga/articulo/4151486.pdf</x:v>
      </x:c>
      <x:c r="I134" s="134" t="str">
        <x:v>La fuente dice que murió el 12/04/1672 y mandó ser enterrada en San Juan de Trelles; no identifica de forma expresa el lugar de fallecimiento.</x:v>
      </x:c>
      <x:c r="J134" s="15" t="str">
        <x:v>Revisar libro de memorias pías de Villacondide y testamento para fijar el nom...</x:v>
      </x:c>
    </x:row>
    <x:row r="135">
      <x:c r="A135" s="15" t="n">
        <x:v>139</x:v>
      </x:c>
      <x:c r="B135" s="15" t="str">
        <x:v>Lucas Fernández Infanzón y María Alonso de la Vega (pareja ancestral PARES)</x:v>
      </x:c>
      <x:c r="C135" s="15" t="str">
        <x:v>Coaña (Asturias)</x:v>
      </x:c>
      <x:c r="D135" s="15" t="str">
        <x:v>LOCALIZADO / YA EN EXCEL</x:v>
      </x:c>
      <x:c r="E135" s="15" t="str">
        <x:v>https://pares.mcu.es/ParesBusquedas20/catalogo/find?archivo=8&amp;idAut=70553&amp;idL...</x:v>
      </x:c>
      <x:c r="F135" s="15" t="str"/>
      <x:c r="G135" s="15" t="str">
        <x:v>NO LOCALIZADO EN FUENTES ABIERTAS</x:v>
      </x:c>
      <x:c r="H135" s="15" t="str">
        <x:v>Búsqueda/revisión sin coincidencia fiable</x:v>
      </x:c>
      <x:c r="I135" s="15" t="str">
        <x:v>Lugar de nacimiento localizado; lugar de defunción no hallado con suficiente fiabilidad.</x:v>
      </x:c>
      <x:c r="J135" s="15" t="str">
        <x:v>Solicitar o consultar el pleito SALA DE HIJOSDALGO, CAJA 948,18 para reconstr...</x:v>
      </x:c>
    </x:row>
    <x:row r="136">
      <x:c r="A136" s="15" t="n">
        <x:v>140</x:v>
      </x:c>
      <x:c r="B136" s="15" t="str">
        <x:v>Lope Alfonso de Pumarín</x:v>
      </x:c>
      <x:c r="C136" s="15" t="str">
        <x:v>Pumarín, parroquia de Trelles (Asturias)</x:v>
      </x:c>
      <x:c r="D136" s="15" t="str">
        <x:v>LOCALIZADO / YA EN EXCEL</x:v>
      </x:c>
      <x:c r="E136" s="15" t="str">
        <x:v>https://dialnet.unirioja.es/descarga/articulo/3016531.pdf</x:v>
      </x:c>
      <x:c r="F136" s="15" t="str"/>
      <x:c r="G136" s="15" t="str">
        <x:v>NO LOCALIZADO EN FUENTES ABIERTAS</x:v>
      </x:c>
      <x:c r="H136" s="15" t="str">
        <x:v>Búsqueda/revisión sin coincidencia fiable</x:v>
      </x:c>
      <x:c r="I136" s="15" t="str">
        <x:v>Lugar de nacimiento localizado; lugar de defunción no hallado con suficiente fiabilidad.</x:v>
      </x:c>
      <x:c r="J136" s="15" t="str">
        <x:v>Consultar Archivo de la Universidad de Salamanca, expediente de Benito Gonzál...</x:v>
      </x:c>
    </x:row>
    <x:row r="137">
      <x:c r="A137" s="15" t="n">
        <x:v>141</x:v>
      </x:c>
      <x:c r="B137" s="15" t="str">
        <x:v>María Méndez Trelles y Morán (o Álvarez Morán)</x:v>
      </x:c>
      <x:c r="C137" s="15" t="str">
        <x:v>Villacondide, Coaña (Asturias)</x:v>
      </x:c>
      <x:c r="D137" s="15" t="str">
        <x:v>LOCALIZADO / YA EN EXCEL</x:v>
      </x:c>
      <x:c r="E137" s="15" t="str">
        <x:v>https://dialnet.unirioja.es/descarga/articulo/3016531.pdf</x:v>
      </x:c>
      <x:c r="F137" s="15" t="str"/>
      <x:c r="G137" s="15" t="str">
        <x:v>NO LOCALIZADO EN FUENTES ABIERTAS</x:v>
      </x:c>
      <x:c r="H137" s="15" t="str">
        <x:v>Búsqueda/revisión sin coincidencia fiable</x:v>
      </x:c>
      <x:c r="I137" s="15" t="str">
        <x:v>Lugar de nacimiento localizado; lugar de defunción no hallado con suficiente fiabilidad.</x:v>
      </x:c>
      <x:c r="J137" s="15" t="str">
        <x:v>Revisar libro de bautizados de Villacondide para confirmar padres y padrinos ...</x:v>
      </x:c>
    </x:row>
    <x:row r="138">
      <x:c r="A138" s="15" t="n">
        <x:v>142</x:v>
      </x:c>
      <x:c r="B138" s="15" t="str">
        <x:v>María Álvarez Morán de Trelles y Villamil</x:v>
      </x:c>
      <x:c r="C138" s="15" t="str">
        <x:v>Villacondide, Coaña (Asturias)</x:v>
      </x:c>
      <x:c r="D138" s="15" t="str">
        <x:v>LOCALIZADO / YA EN EXCEL</x:v>
      </x:c>
      <x:c r="E138" s="15" t="str">
        <x:v>https://dialnet.unirioja.es/descarga/articulo/3016531.pdf</x:v>
      </x:c>
      <x:c r="F138" s="137" t="str">
        <x:v>Villacondide, Coaña (Asturias)</x:v>
      </x:c>
      <x:c r="G138" s="137" t="str">
        <x:v>CONFIRMADO EXPLÍCITAMENTE 19ª</x:v>
      </x:c>
      <x:c r="H138" s="137" t="str">
        <x:v>https://dialnet.unirioja.es/descarga/articulo/3016531.pdf</x:v>
      </x:c>
      <x:c r="I138" s="137" t="str">
        <x:v>La tabla genealógica final del estudio indica literalmente «+ 27-I-1709 en Villacondide».</x:v>
      </x:c>
      <x:c r="J138" s="15" t="str">
        <x:v>Consultar folio 54v del libro de bautizados y la partida de entierro en Villa...</x:v>
      </x:c>
    </x:row>
    <x:row r="139">
      <x:c r="A139" s="15" t="n">
        <x:v>143</x:v>
      </x:c>
      <x:c r="B139" s="15" t="str">
        <x:v>Diego Méndez de la Calzada (de la Murola / de Pumarín)</x:v>
      </x:c>
      <x:c r="C139" s="15" t="str">
        <x:v>Villacondide, Coaña (Asturias)</x:v>
      </x:c>
      <x:c r="D139" s="15" t="str">
        <x:v>LOCALIZADO / YA EN EXCEL</x:v>
      </x:c>
      <x:c r="E139" s="15" t="str">
        <x:v>https://dialnet.unirioja.es/descarga/articulo/3016531.pdf</x:v>
      </x:c>
      <x:c r="F139" s="134" t="str">
        <x:v>Villacondide, Coaña (Asturias)</x:v>
      </x:c>
      <x:c r="G139" s="134" t="str">
        <x:v>CONFIRMADO EXPLÍCITAMENTE 18ª</x:v>
      </x:c>
      <x:c r="H139" s="134" t="str">
        <x:v>https://dialnet.unirioja.es/descarga/articulo/3016531.pdf</x:v>
      </x:c>
      <x:c r="I139" s="134" t="str">
        <x:v>18ª pasada: confirmado de forma explícita por Gonzalo Anes: «Diego Méndez de la Murola falleció en Villacondide el 10 de abril de 1711».</x:v>
      </x:c>
      <x:c r="J139" s="15" t="str">
        <x:v>Consultar partidas sacramentales originales y matrimonio con María Álvarez Mo...</x:v>
      </x:c>
    </x:row>
    <x:row r="140">
      <x:c r="A140" s="15" t="n">
        <x:v>144</x:v>
      </x:c>
      <x:c r="B140" s="15" t="str">
        <x:v>Lope Méndez de la Murola</x:v>
      </x:c>
      <x:c r="C140" s="15" t="str">
        <x:v>Villacondide / Pumarín (Asturias)</x:v>
      </x:c>
      <x:c r="D140" s="15" t="str">
        <x:v>LOCALIZADO / YA EN EXCEL</x:v>
      </x:c>
      <x:c r="E140" s="15" t="str">
        <x:v>https://dialnet.unirioja.es/descarga/articulo/3016531.pdf</x:v>
      </x:c>
      <x:c r="F140" s="15" t="str"/>
      <x:c r="G140" s="15" t="str">
        <x:v>NO LOCALIZADO EN FUENTES ABIERTAS</x:v>
      </x:c>
      <x:c r="H140" s="15" t="str">
        <x:v>Búsqueda/revisión sin coincidencia fiable</x:v>
      </x:c>
      <x:c r="I140" s="15" t="str">
        <x:v>Lugar de nacimiento localizado; lugar de defunción no hallado con suficiente fiabilidad.</x:v>
      </x:c>
      <x:c r="J140" s="15" t="str">
        <x:v>Consultar matrimonio de 1652 para confirmar sus propios padres y enlazar con ...</x:v>
      </x:c>
    </x:row>
    <x:row r="141">
      <x:c r="A141" s="15" t="n">
        <x:v>145</x:v>
      </x:c>
      <x:c r="B141" s="15" t="str">
        <x:v>María Méndez (esposa de Lope Méndez de la Murola)</x:v>
      </x:c>
      <x:c r="C141" s="15" t="str">
        <x:v>Villacondide / entorno de Coaña (Asturias)</x:v>
      </x:c>
      <x:c r="D141" s="15" t="str">
        <x:v>LOCALIZADO / YA EN EXCEL</x:v>
      </x:c>
      <x:c r="E141" s="15" t="str">
        <x:v>https://dialnet.unirioja.es/descarga/articulo/3016531.pdf</x:v>
      </x:c>
      <x:c r="F141" s="15" t="str"/>
      <x:c r="G141" s="15" t="str">
        <x:v>NO LOCALIZADO EN FUENTES ABIERTAS</x:v>
      </x:c>
      <x:c r="H141" s="15" t="str">
        <x:v>Búsqueda/revisión sin coincidencia fiable</x:v>
      </x:c>
      <x:c r="I141" s="15" t="str">
        <x:v>Lugar de nacimiento localizado; lugar de defunción no hallado con suficiente fiabilidad.</x:v>
      </x:c>
      <x:c r="J141" s="15" t="str">
        <x:v>Buscar matrimonio y defunción anteriores al segundo matrimonio de Lope Méndez...</x:v>
      </x:c>
    </x:row>
    <x:row r="142">
      <x:c r="A142" s="15" t="n">
        <x:v>146</x:v>
      </x:c>
      <x:c r="B142" s="15" t="str">
        <x:v>Diego Méndez de Pumarín</x:v>
      </x:c>
      <x:c r="C142" s="15" t="str">
        <x:v>Pumarín / Villacondide (Asturias)</x:v>
      </x:c>
      <x:c r="D142" s="15" t="str">
        <x:v>LOCALIZADO / YA EN EXCEL</x:v>
      </x:c>
      <x:c r="E142" s="15" t="str">
        <x:v>https://dialnet.unirioja.es/descarga/articulo/3016531.pdf</x:v>
      </x:c>
      <x:c r="F142" s="15" t="str"/>
      <x:c r="G142" s="15" t="str">
        <x:v>NO LOCALIZADO EN FUENTES ABIERTAS</x:v>
      </x:c>
      <x:c r="H142" s="15" t="str">
        <x:v>Búsqueda/revisión sin coincidencia fiable</x:v>
      </x:c>
      <x:c r="I142" s="15" t="str">
        <x:v>Lugar de nacimiento localizado; lugar de defunción no hallado con suficiente fiabilidad.</x:v>
      </x:c>
      <x:c r="J142" s="15" t="str">
        <x:v>Consultar partida matrimonial de 1652 y padrones de Villacondide/Pumarín.</x:v>
      </x:c>
    </x:row>
    <x:row r="143">
      <x:c r="A143" s="15" t="n">
        <x:v>150</x:v>
      </x:c>
      <x:c r="B143" s="15" t="str">
        <x:v>Francisco Morán de Trelles (bautizado 1644)</x:v>
      </x:c>
      <x:c r="C143" s="15" t="str">
        <x:v>Villacondide, Coaña (Asturias)</x:v>
      </x:c>
      <x:c r="D143" s="15" t="str">
        <x:v>LOCALIZADO / YA EN EXCEL</x:v>
      </x:c>
      <x:c r="E143" s="15" t="str">
        <x:v>https://dialnet.unirioja.es/descarga/articulo/3016531.pdf</x:v>
      </x:c>
      <x:c r="F143" s="15" t="str"/>
      <x:c r="G143" s="15" t="str">
        <x:v>NO LOCALIZADO EN FUENTES ABIERTAS</x:v>
      </x:c>
      <x:c r="H143" s="15" t="str">
        <x:v>Búsqueda/revisión sin coincidencia fiable</x:v>
      </x:c>
      <x:c r="I143" s="15" t="str">
        <x:v>Lugar de nacimiento localizado; lugar de defunción no hallado con suficiente fiabilidad.</x:v>
      </x:c>
      <x:c r="J143" s="15" t="str">
        <x:v>Cruzar padrones 1687–1704 y testamento de García Morán.</x:v>
      </x:c>
    </x:row>
    <x:row r="144">
      <x:c r="A144" s="15" t="n">
        <x:v>151</x:v>
      </x:c>
      <x:c r="B144" s="15" t="str">
        <x:v>Antonia Morán de Trelles</x:v>
      </x:c>
      <x:c r="C144" s="15" t="str">
        <x:v>Villacondide, Coaña (Asturias)</x:v>
      </x:c>
      <x:c r="D144" s="15" t="str">
        <x:v>LOCALIZADO / YA EN EXCEL</x:v>
      </x:c>
      <x:c r="E144" s="15" t="str">
        <x:v>https://dialnet.unirioja.es/descarga/articulo/3016531.pdf</x:v>
      </x:c>
      <x:c r="F144" s="15" t="str"/>
      <x:c r="G144" s="15" t="str">
        <x:v>NO LOCALIZADO EN FUENTES ABIERTAS</x:v>
      </x:c>
      <x:c r="H144" s="15" t="str">
        <x:v>Búsqueda/revisión sin coincidencia fiable</x:v>
      </x:c>
      <x:c r="I144" s="15" t="str">
        <x:v>Lugar de nacimiento localizado; lugar de defunción no hallado con suficiente fiabilidad.</x:v>
      </x:c>
      <x:c r="J144" s="15" t="str">
        <x:v>Buscar matrimonio o defunción en Villacondide y parroquias limítrofes.</x:v>
      </x:c>
    </x:row>
    <x:row r="145">
      <x:c r="A145" s="15" t="n">
        <x:v>152</x:v>
      </x:c>
      <x:c r="B145" s="15" t="str">
        <x:v>Suero (Sueiro) Morán de Trelles</x:v>
      </x:c>
      <x:c r="C145" s="15" t="str">
        <x:v>Villacondide, Coaña (Asturias)</x:v>
      </x:c>
      <x:c r="D145" s="15" t="str">
        <x:v>LOCALIZADO / YA EN EXCEL</x:v>
      </x:c>
      <x:c r="E145" s="15" t="str">
        <x:v>https://dialnet.unirioja.es/descarga/articulo/3016531.pdf</x:v>
      </x:c>
      <x:c r="F145" s="15" t="str"/>
      <x:c r="G145" s="15" t="str">
        <x:v>NO LOCALIZADO EN FUENTES ABIERTAS</x:v>
      </x:c>
      <x:c r="H145" s="15" t="str">
        <x:v>Búsqueda/revisión sin coincidencia fiable</x:v>
      </x:c>
      <x:c r="I145" s="15" t="str">
        <x:v>Lugar de nacimiento localizado; lugar de defunción no hallado con suficiente fiabilidad.</x:v>
      </x:c>
      <x:c r="J145" s="15" t="str">
        <x:v>Buscar expediente universitario/canonicato para fechas de estudios, cargos y ...</x:v>
      </x:c>
    </x:row>
    <x:row r="146">
      <x:c r="A146" s="15" t="n">
        <x:v>153</x:v>
      </x:c>
      <x:c r="B146" s="15" t="str">
        <x:v>Gonzalo Morán de Trelles</x:v>
      </x:c>
      <x:c r="C146" s="15" t="str">
        <x:v>Villacondide, Coaña (Asturias)</x:v>
      </x:c>
      <x:c r="D146" s="15" t="str">
        <x:v>LOCALIZADO / YA EN EXCEL</x:v>
      </x:c>
      <x:c r="E146" s="15" t="str">
        <x:v>https://dialnet.unirioja.es/descarga/articulo/3016531.pdf</x:v>
      </x:c>
      <x:c r="F146" s="15" t="str"/>
      <x:c r="G146" s="15" t="str">
        <x:v>NO LOCALIZADO EN FUENTES ABIERTAS</x:v>
      </x:c>
      <x:c r="H146" s="15" t="str">
        <x:v>Búsqueda/revisión sin coincidencia fiable</x:v>
      </x:c>
      <x:c r="I146" s="15" t="str">
        <x:v>Lugar de nacimiento localizado; lugar de defunción no hallado con suficiente fiabilidad.</x:v>
      </x:c>
      <x:c r="J146" s="15" t="str">
        <x:v>Buscar expediente de órdenes y defunción.</x:v>
      </x:c>
    </x:row>
    <x:row r="147">
      <x:c r="A147" s="15" t="n">
        <x:v>154</x:v>
      </x:c>
      <x:c r="B147" s="15" t="str">
        <x:v>Catalina Álvarez Morán Trelles y Villamil</x:v>
      </x:c>
      <x:c r="C147" s="15" t="str">
        <x:v>Villacondide, Coaña (Asturias)</x:v>
      </x:c>
      <x:c r="D147" s="15" t="str">
        <x:v>LOCALIZADO / YA EN EXCEL</x:v>
      </x:c>
      <x:c r="E147" s="15" t="str">
        <x:v>https://dialnet.unirioja.es/descarga/articulo/3016531.pdf</x:v>
      </x:c>
      <x:c r="F147" s="15" t="str"/>
      <x:c r="G147" s="15" t="str">
        <x:v>NO LOCALIZADO EN FUENTES ABIERTAS</x:v>
      </x:c>
      <x:c r="H147" s="15" t="str">
        <x:v>Búsqueda/revisión sin coincidencia fiable</x:v>
      </x:c>
      <x:c r="I147" s="15" t="str">
        <x:v>Lugar de nacimiento localizado; lugar de defunción no hallado con suficiente fiabilidad.</x:v>
      </x:c>
      <x:c r="J147" s="15" t="str">
        <x:v>Consultar libro de casados de Villacondide, fol. 51v, y testamento de 1721.</x:v>
      </x:c>
    </x:row>
    <x:row r="148">
      <x:c r="A148" s="15" t="n">
        <x:v>155</x:v>
      </x:c>
      <x:c r="B148" s="15" t="str">
        <x:v>Lucía López de Aguiar</x:v>
      </x:c>
      <x:c r="C148" s="15" t="str">
        <x:v>Villacondide / entorno de Coaña (Asturias)</x:v>
      </x:c>
      <x:c r="D148" s="15" t="str">
        <x:v>LOCALIZADO / YA EN EXCEL</x:v>
      </x:c>
      <x:c r="E148" s="15" t="str">
        <x:v>https://dialnet.unirioja.es/descarga/articulo/3016531.pdf</x:v>
      </x:c>
      <x:c r="F148" s="134" t="str">
        <x:v>Villacondide, Coaña (Asturias)</x:v>
      </x:c>
      <x:c r="G148" s="134" t="str">
        <x:v>CONFIRMADO EXPLÍCITAMENTE 18ª</x:v>
      </x:c>
      <x:c r="H148" s="134" t="str">
        <x:v>https://dialnet.unirioja.es/descarga/articulo/3016531.pdf</x:v>
      </x:c>
      <x:c r="I148" s="134" t="str">
        <x:v>18ª pasada: confirmado de forma explícita por Gonzalo Anes: «Lucía López de Aguiar falleció en Villacondide el 24 de agosto de 1700».</x:v>
      </x:c>
      <x:c r="J148" s="15" t="str">
        <x:v>Buscar su bautismo y matrimonio para identificar a sus padres; era hermana de...</x:v>
      </x:c>
    </x:row>
    <x:row r="149">
      <x:c r="A149" s="15" t="n">
        <x:v>156</x:v>
      </x:c>
      <x:c r="B149" s="15" t="str">
        <x:v>Antonio Morán de Trelles (hijo de Alonso)</x:v>
      </x:c>
      <x:c r="C149" s="15" t="str">
        <x:v>Villacondide, Coaña (Asturias)</x:v>
      </x:c>
      <x:c r="D149" s="15" t="str">
        <x:v>LOCALIZADO / YA EN EXCEL</x:v>
      </x:c>
      <x:c r="E149" s="15" t="str">
        <x:v>https://dialnet.unirioja.es/descarga/articulo/3016531.pdf</x:v>
      </x:c>
      <x:c r="F149" s="15" t="str"/>
      <x:c r="G149" s="15" t="str">
        <x:v>NO LOCALIZADO EN FUENTES ABIERTAS</x:v>
      </x:c>
      <x:c r="H149" s="15" t="str">
        <x:v>Búsqueda/revisión sin coincidencia fiable</x:v>
      </x:c>
      <x:c r="I149" s="15" t="str">
        <x:v>Lugar de nacimiento localizado; lugar de defunción no hallado con suficiente fiabilidad.</x:v>
      </x:c>
      <x:c r="J149" s="15" t="str">
        <x:v>Seguir en padrones y libros de difuntos.</x:v>
      </x:c>
    </x:row>
    <x:row r="150">
      <x:c r="A150" s="15" t="n">
        <x:v>157</x:v>
      </x:c>
      <x:c r="B150" s="15" t="str">
        <x:v>María Morán de Trelles (hija de Alonso)</x:v>
      </x:c>
      <x:c r="C150" s="15" t="str">
        <x:v>Villacondide, Coaña (Asturias)</x:v>
      </x:c>
      <x:c r="D150" s="15" t="str">
        <x:v>LOCALIZADO / YA EN EXCEL</x:v>
      </x:c>
      <x:c r="E150" s="15" t="str">
        <x:v>https://dialnet.unirioja.es/descarga/articulo/3016531.pdf</x:v>
      </x:c>
      <x:c r="F150" s="15" t="str"/>
      <x:c r="G150" s="15" t="str">
        <x:v>NO LOCALIZADO EN FUENTES ABIERTAS</x:v>
      </x:c>
      <x:c r="H150" s="15" t="str">
        <x:v>Búsqueda/revisión sin coincidencia fiable</x:v>
      </x:c>
      <x:c r="I150" s="15" t="str">
        <x:v>Lugar de nacimiento localizado; lugar de defunción no hallado con suficiente fiabilidad.</x:v>
      </x:c>
      <x:c r="J150" s="15" t="str">
        <x:v>Buscar matrimonio o defunción.</x:v>
      </x:c>
    </x:row>
    <x:row r="151">
      <x:c r="A151" s="15" t="n">
        <x:v>158</x:v>
      </x:c>
      <x:c r="B151" s="15" t="str">
        <x:v>Teresa Morán de Trelles</x:v>
      </x:c>
      <x:c r="C151" s="15" t="str">
        <x:v>Villacondide, Coaña (Asturias)</x:v>
      </x:c>
      <x:c r="D151" s="15" t="str">
        <x:v>LOCALIZADO / YA EN EXCEL</x:v>
      </x:c>
      <x:c r="E151" s="15" t="str">
        <x:v>https://dialnet.unirioja.es/descarga/articulo/3016531.pdf</x:v>
      </x:c>
      <x:c r="F151" s="15" t="str"/>
      <x:c r="G151" s="15" t="str">
        <x:v>NO LOCALIZADO EN FUENTES ABIERTAS</x:v>
      </x:c>
      <x:c r="H151" s="15" t="str">
        <x:v>Búsqueda/revisión sin coincidencia fiable</x:v>
      </x:c>
      <x:c r="I151" s="15" t="str">
        <x:v>Lugar de nacimiento localizado; lugar de defunción no hallado con suficiente fiabilidad.</x:v>
      </x:c>
      <x:c r="J151" s="15" t="str">
        <x:v>Buscar matrimonio/defunción y distinguirla de otras Teresa de la familia.</x:v>
      </x:c>
    </x:row>
    <x:row r="152">
      <x:c r="A152" s="15" t="n">
        <x:v>159</x:v>
      </x:c>
      <x:c r="B152" s="15" t="str">
        <x:v>María Morán de Trelles (melliza de Teresa)</x:v>
      </x:c>
      <x:c r="C152" s="15" t="str">
        <x:v>Villacondide, Coaña (Asturias)</x:v>
      </x:c>
      <x:c r="D152" s="15" t="str">
        <x:v>LOCALIZADO / YA EN EXCEL</x:v>
      </x:c>
      <x:c r="E152" s="15" t="str">
        <x:v>https://dialnet.unirioja.es/descarga/articulo/3016531.pdf</x:v>
      </x:c>
      <x:c r="F152" s="15" t="str"/>
      <x:c r="G152" s="15" t="str">
        <x:v>NO LOCALIZADO EN FUENTES ABIERTAS</x:v>
      </x:c>
      <x:c r="H152" s="15" t="str">
        <x:v>Búsqueda/revisión sin coincidencia fiable</x:v>
      </x:c>
      <x:c r="I152" s="15" t="str">
        <x:v>Lugar de nacimiento localizado; lugar de defunción no hallado con suficiente fiabilidad.</x:v>
      </x:c>
      <x:c r="J152" s="15" t="str">
        <x:v>Buscar matrimonio/defunción y evitar confusión con su hermana María de 1662.</x:v>
      </x:c>
    </x:row>
    <x:row r="153">
      <x:c r="A153" s="15" t="n">
        <x:v>160</x:v>
      </x:c>
      <x:c r="B153" s="15" t="str">
        <x:v>Francisco Morán de Trelles (hijo de Alonso)</x:v>
      </x:c>
      <x:c r="C153" s="15" t="str">
        <x:v>Villacondide, Coaña (Asturias)</x:v>
      </x:c>
      <x:c r="D153" s="15" t="str">
        <x:v>LOCALIZADO / YA EN EXCEL</x:v>
      </x:c>
      <x:c r="E153" s="15" t="str">
        <x:v>https://dialnet.unirioja.es/descarga/articulo/3016531.pdf</x:v>
      </x:c>
      <x:c r="F153" s="15" t="str"/>
      <x:c r="G153" s="15" t="str">
        <x:v>NO LOCALIZADO EN FUENTES ABIERTAS</x:v>
      </x:c>
      <x:c r="H153" s="15" t="str">
        <x:v>Búsqueda/revisión sin coincidencia fiable</x:v>
      </x:c>
      <x:c r="I153" s="15" t="str">
        <x:v>Lugar de nacimiento localizado; lugar de defunción no hallado con suficiente fiabilidad.</x:v>
      </x:c>
      <x:c r="J153" s="15" t="str">
        <x:v>Seguir en padrones de 1691, 1699 y 1717.</x:v>
      </x:c>
    </x:row>
    <x:row r="154">
      <x:c r="A154" s="15" t="n">
        <x:v>161</x:v>
      </x:c>
      <x:c r="B154" s="15" t="str">
        <x:v>Fernando Antonio Morán de Trelles</x:v>
      </x:c>
      <x:c r="C154" s="15" t="str">
        <x:v>Villacondide, Coaña (Asturias)</x:v>
      </x:c>
      <x:c r="D154" s="15" t="str">
        <x:v>LOCALIZADO / YA EN EXCEL</x:v>
      </x:c>
      <x:c r="E154" s="15" t="str">
        <x:v>https://dialnet.unirioja.es/descarga/articulo/3016531.pdf</x:v>
      </x:c>
      <x:c r="F154" s="15" t="str"/>
      <x:c r="G154" s="15" t="str">
        <x:v>NO LOCALIZADO EN FUENTES ABIERTAS</x:v>
      </x:c>
      <x:c r="H154" s="15" t="str">
        <x:v>Búsqueda/revisión sin coincidencia fiable</x:v>
      </x:c>
      <x:c r="I154" s="15" t="str">
        <x:v>Lugar de nacimiento localizado; lugar de defunción no hallado con suficiente fiabilidad.</x:v>
      </x:c>
      <x:c r="J154" s="15" t="str">
        <x:v>Buscar matrimonio, residencia y defunción.</x:v>
      </x:c>
    </x:row>
    <x:row r="155">
      <x:c r="A155" s="15" t="n">
        <x:v>162</x:v>
      </x:c>
      <x:c r="B155" s="15" t="str">
        <x:v>Catalina Morán de Trelles</x:v>
      </x:c>
      <x:c r="C155" s="15" t="str">
        <x:v>Villacondide, Coaña (Asturias)</x:v>
      </x:c>
      <x:c r="D155" s="15" t="str">
        <x:v>LOCALIZADO / YA EN EXCEL</x:v>
      </x:c>
      <x:c r="E155" s="15" t="str">
        <x:v>https://dialnet.unirioja.es/descarga/articulo/3016531.pdf</x:v>
      </x:c>
      <x:c r="F155" s="15" t="str"/>
      <x:c r="G155" s="15" t="str">
        <x:v>NO LOCALIZADO EN FUENTES ABIERTAS</x:v>
      </x:c>
      <x:c r="H155" s="15" t="str">
        <x:v>Búsqueda/revisión sin coincidencia fiable</x:v>
      </x:c>
      <x:c r="I155" s="15" t="str">
        <x:v>Lugar de nacimiento localizado; lugar de defunción no hallado con suficiente fiabilidad.</x:v>
      </x:c>
      <x:c r="J155" s="15" t="str">
        <x:v>Buscar su matrimonio/defunción.</x:v>
      </x:c>
    </x:row>
    <x:row r="156">
      <x:c r="A156" s="15" t="n">
        <x:v>163</x:v>
      </x:c>
      <x:c r="B156" s="15" t="str">
        <x:v>Lucía-Ana López Morán y Trelles</x:v>
      </x:c>
      <x:c r="C156" s="15" t="str">
        <x:v>Villacondide, Coaña (Asturias)</x:v>
      </x:c>
      <x:c r="D156" s="15" t="str">
        <x:v>LOCALIZADO / YA EN EXCEL</x:v>
      </x:c>
      <x:c r="E156" s="15" t="str">
        <x:v>https://dialnet.unirioja.es/descarga/articulo/3016531.pdf</x:v>
      </x:c>
      <x:c r="F156" s="134" t="str"/>
      <x:c r="G156" s="134" t="str">
        <x:v>FECHA/ENTIERRO DOCUMENTADOS; LUGAR DE MUERTE NO EXPLÍCITO</x:v>
      </x:c>
      <x:c r="H156" s="134" t="str">
        <x:v>https://dialnet.unirioja.es/descarga/articulo/3016531.pdf</x:v>
      </x:c>
      <x:c r="I156" s="134" t="str">
        <x:v>La fuente confirma que fue enterrada en Villacondide el 26/04/1758, pero no expresa literalmente que falleciera allí.</x:v>
      </x:c>
      <x:c r="J156" s="15" t="str">
        <x:v>Consultar testamento y libro de entierros, fol. 61v, para completar descenden...</x:v>
      </x:c>
    </x:row>
    <x:row r="157">
      <x:c r="A157" s="15" t="n">
        <x:v>164</x:v>
      </x:c>
      <x:c r="B157" s="15" t="str">
        <x:v>Francisco Fernández del Valle</x:v>
      </x:c>
      <x:c r="C157" s="15" t="str">
        <x:v>Asturias occidental</x:v>
      </x:c>
      <x:c r="D157" s="15" t="str">
        <x:v>LOCALIZADO / YA EN EXCEL</x:v>
      </x:c>
      <x:c r="E157" s="15" t="str">
        <x:v>https://dialnet.unirioja.es/descarga/articulo/3016531.pdf</x:v>
      </x:c>
      <x:c r="F157" s="15" t="str"/>
      <x:c r="G157" s="15" t="str">
        <x:v>NO LOCALIZADO EN FUENTES ABIERTAS</x:v>
      </x:c>
      <x:c r="H157" s="15" t="str">
        <x:v>Búsqueda/revisión sin coincidencia fiable</x:v>
      </x:c>
      <x:c r="I157" s="15" t="str">
        <x:v>Lugar de nacimiento localizado; lugar de defunción no hallado con suficiente fiabilidad.</x:v>
      </x:c>
      <x:c r="J157" s="15" t="str">
        <x:v>Buscar matrimonio y padrones para padres y fechas.</x:v>
      </x:c>
    </x:row>
    <x:row r="158">
      <x:c r="A158" s="15" t="n">
        <x:v>165</x:v>
      </x:c>
      <x:c r="B158" s="15" t="str">
        <x:v>Francisco del Valle y Trelles</x:v>
      </x:c>
      <x:c r="C158" s="15" t="str">
        <x:v>Asturias occidental</x:v>
      </x:c>
      <x:c r="D158" s="15" t="str">
        <x:v>LOCALIZADO / YA EN EXCEL</x:v>
      </x:c>
      <x:c r="E158" s="15" t="str">
        <x:v>https://dialnet.unirioja.es/descarga/articulo/3016531.pdf</x:v>
      </x:c>
      <x:c r="F158" s="15" t="str"/>
      <x:c r="G158" s="15" t="str">
        <x:v>NO LOCALIZADO EN FUENTES ABIERTAS</x:v>
      </x:c>
      <x:c r="H158" s="15" t="str">
        <x:v>Búsqueda/revisión sin coincidencia fiable</x:v>
      </x:c>
      <x:c r="I158" s="15" t="str">
        <x:v>Lugar de nacimiento localizado; lugar de defunción no hallado con suficiente fiabilidad.</x:v>
      </x:c>
      <x:c r="J158" s="15" t="str">
        <x:v>Buscar expediente eclesiástico y partida bautismal.</x:v>
      </x:c>
    </x:row>
    <x:row r="159">
      <x:c r="A159" s="15" t="n">
        <x:v>166</x:v>
      </x:c>
      <x:c r="B159" s="15" t="str">
        <x:v>Antonio Alonso San Julián y Aguiar</x:v>
      </x:c>
      <x:c r="C159" s="15" t="str">
        <x:v>Campos / Castropol (Asturias)</x:v>
      </x:c>
      <x:c r="D159" s="15" t="str">
        <x:v>LOCALIZADO / YA EN EXCEL</x:v>
      </x:c>
      <x:c r="E159" s="15" t="str">
        <x:v>https://dialnet.unirioja.es/descarga/articulo/3016531.pdf</x:v>
      </x:c>
      <x:c r="F159" s="15" t="str"/>
      <x:c r="G159" s="15" t="str">
        <x:v>NO LOCALIZADO EN FUENTES ABIERTAS</x:v>
      </x:c>
      <x:c r="H159" s="15" t="str">
        <x:v>Búsqueda/revisión sin coincidencia fiable</x:v>
      </x:c>
      <x:c r="I159" s="15" t="str">
        <x:v>Lugar de nacimiento localizado; lugar de defunción no hallado con suficiente fiabilidad.</x:v>
      </x:c>
      <x:c r="J159" s="15" t="str">
        <x:v>Buscar partida matrimonial y filiación de Antonio Alonso.</x:v>
      </x:c>
    </x:row>
    <x:row r="160">
      <x:c r="A160" s="15" t="n">
        <x:v>167</x:v>
      </x:c>
      <x:c r="B160" s="15" t="str">
        <x:v>Alonso González de Coaña</x:v>
      </x:c>
      <x:c r="C160" s="15" t="str">
        <x:v>Coaña / Meiro (Asturias)</x:v>
      </x:c>
      <x:c r="D160" s="15" t="str">
        <x:v>LOCALIZADO / YA EN EXCEL</x:v>
      </x:c>
      <x:c r="E160" s="15" t="str">
        <x:v>https://dialnet.unirioja.es/descarga/articulo/3016531.pdf</x:v>
      </x:c>
      <x:c r="F160" s="15" t="str"/>
      <x:c r="G160" s="15" t="str">
        <x:v>NO LOCALIZADO EN FUENTES ABIERTAS</x:v>
      </x:c>
      <x:c r="H160" s="15" t="str">
        <x:v>Búsqueda/revisión sin coincidencia fiable</x:v>
      </x:c>
      <x:c r="I160" s="15" t="str">
        <x:v>Lugar de nacimiento localizado; lugar de defunción no hallado con suficiente fiabilidad.</x:v>
      </x:c>
      <x:c r="J160" s="15" t="str">
        <x:v>Contrastar con pruebas de hábito de Santiago y documentación de la casa de Co...</x:v>
      </x:c>
    </x:row>
    <x:row r="161">
      <x:c r="A161" s="15" t="n">
        <x:v>168</x:v>
      </x:c>
      <x:c r="B161" s="15" t="str">
        <x:v>Catalina Suárez de Trelles (esposa de Alonso González de Coaña)</x:v>
      </x:c>
      <x:c r="C161" s="15" t="str">
        <x:v>Asturias occidental</x:v>
      </x:c>
      <x:c r="D161" s="15" t="str">
        <x:v>LOCALIZADO / YA EN EXCEL</x:v>
      </x:c>
      <x:c r="E161" s="15" t="str">
        <x:v>https://dialnet.unirioja.es/descarga/articulo/3016531.pdf</x:v>
      </x:c>
      <x:c r="F161" s="15" t="str"/>
      <x:c r="G161" s="15" t="str">
        <x:v>NO LOCALIZADO EN FUENTES ABIERTAS</x:v>
      </x:c>
      <x:c r="H161" s="15" t="str">
        <x:v>Búsqueda/revisión sin coincidencia fiable</x:v>
      </x:c>
      <x:c r="I161" s="15" t="str">
        <x:v>Lugar de nacimiento localizado; lugar de defunción no hallado con suficiente fiabilidad.</x:v>
      </x:c>
      <x:c r="J161" s="15" t="str">
        <x:v>Buscar las pruebas de hábito y documentos del solar de Trelles para precisar ...</x:v>
      </x:c>
    </x:row>
    <x:row r="162">
      <x:c r="A162" s="15" t="n">
        <x:v>169</x:v>
      </x:c>
      <x:c r="B162" s="15" t="str">
        <x:v>Arias de Trelles</x:v>
      </x:c>
      <x:c r="C162" s="15" t="str">
        <x:v>Asturias occidental</x:v>
      </x:c>
      <x:c r="D162" s="15" t="str">
        <x:v>LOCALIZADO / YA EN EXCEL</x:v>
      </x:c>
      <x:c r="E162" s="15" t="str">
        <x:v>https://dialnet.unirioja.es/descarga/articulo/3016531.pdf</x:v>
      </x:c>
      <x:c r="F162" s="15" t="str"/>
      <x:c r="G162" s="15" t="str">
        <x:v>NO LOCALIZADO EN FUENTES ABIERTAS</x:v>
      </x:c>
      <x:c r="H162" s="15" t="str">
        <x:v>Búsqueda/revisión sin coincidencia fiable</x:v>
      </x:c>
      <x:c r="I162" s="15" t="str">
        <x:v>Lugar de nacimiento localizado; lugar de defunción no hallado con suficiente fiabilidad.</x:v>
      </x:c>
      <x:c r="J162" s="15" t="str">
        <x:v>Buscar pruebas de limpieza/hábito y padrones previos para identificar esposa ...</x:v>
      </x:c>
    </x:row>
    <x:row r="163">
      <x:c r="A163" s="15" t="n">
        <x:v>170</x:v>
      </x:c>
      <x:c r="B163" s="15" t="str">
        <x:v>Álvaro González de Coaña</x:v>
      </x:c>
      <x:c r="C163" s="15" t="str">
        <x:v>Coaña (Asturias)</x:v>
      </x:c>
      <x:c r="D163" s="15" t="str">
        <x:v>LOCALIZADO / YA EN EXCEL</x:v>
      </x:c>
      <x:c r="E163" s="15" t="str">
        <x:v>https://dialnet.unirioja.es/descarga/articulo/3016531.pdf</x:v>
      </x:c>
      <x:c r="F163" s="15" t="str"/>
      <x:c r="G163" s="15" t="str">
        <x:v>NO LOCALIZADO EN FUENTES ABIERTAS</x:v>
      </x:c>
      <x:c r="H163" s="15" t="str">
        <x:v>Búsqueda/revisión sin coincidencia fiable</x:v>
      </x:c>
      <x:c r="I163" s="15" t="str">
        <x:v>Lugar de nacimiento localizado; lugar de defunción no hallado con suficiente fiabilidad.</x:v>
      </x:c>
      <x:c r="J163" s="15" t="str">
        <x:v>Buscar documentación patrimonial de la casa solar de Coaña y Folgueras.</x:v>
      </x:c>
    </x:row>
    <x:row r="164">
      <x:c r="A164" s="15" t="n">
        <x:v>171</x:v>
      </x:c>
      <x:c r="B164" s="15" t="str">
        <x:v>Gonzalo Pérez Pico de Coaña</x:v>
      </x:c>
      <x:c r="C164" s="15" t="str">
        <x:v>Coaña (Asturias)</x:v>
      </x:c>
      <x:c r="D164" s="15" t="str">
        <x:v>LOCALIZADO / YA EN EXCEL</x:v>
      </x:c>
      <x:c r="E164" s="15" t="str">
        <x:v>https://dialnet.unirioja.es/descarga/articulo/3016531.pdf</x:v>
      </x:c>
      <x:c r="F164" s="15" t="str"/>
      <x:c r="G164" s="15" t="str">
        <x:v>NO LOCALIZADO EN FUENTES ABIERTAS</x:v>
      </x:c>
      <x:c r="H164" s="15" t="str">
        <x:v>Búsqueda/revisión sin coincidencia fiable</x:v>
      </x:c>
      <x:c r="I164" s="15" t="str">
        <x:v>Lugar de nacimiento localizado; lugar de defunción no hallado con suficiente fiabilidad.</x:v>
      </x:c>
      <x:c r="J164" s="15" t="str">
        <x:v>Localizar documentación medieval/tardomedieval de la casa solar de Coaña para...</x:v>
      </x:c>
    </x:row>
    <x:row r="165">
      <x:c r="A165" s="15" t="n">
        <x:v>172</x:v>
      </x:c>
      <x:c r="B165" s="15" t="str">
        <x:v>Fernando González de Trelles</x:v>
      </x:c>
      <x:c r="C165" s="15" t="str">
        <x:v>Trelles / Pumarín (Asturias)</x:v>
      </x:c>
      <x:c r="D165" s="15" t="str">
        <x:v>LOCALIZADO / YA EN EXCEL</x:v>
      </x:c>
      <x:c r="E165" s="15" t="str">
        <x:v>https://dialnet.unirioja.es/descarga/articulo/3016531.pdf</x:v>
      </x:c>
      <x:c r="F165" s="15" t="str"/>
      <x:c r="G165" s="15" t="str">
        <x:v>NO LOCALIZADO EN FUENTES ABIERTAS</x:v>
      </x:c>
      <x:c r="H165" s="15" t="str">
        <x:v>Búsqueda/revisión sin coincidencia fiable</x:v>
      </x:c>
      <x:c r="I165" s="15" t="str">
        <x:v>Lugar de nacimiento localizado; lugar de defunción no hallado con suficiente fiabilidad.</x:v>
      </x:c>
      <x:c r="J165" s="15" t="str">
        <x:v>Buscar matrimonio y descendencia en padrones posteriores.</x:v>
      </x:c>
    </x:row>
    <x:row r="166">
      <x:c r="A166" s="15" t="n">
        <x:v>173</x:v>
      </x:c>
      <x:c r="B166" s="15" t="str">
        <x:v>Juan García (hijo de Suero González de Trelles)</x:v>
      </x:c>
      <x:c r="C166" s="15" t="str">
        <x:v>Trelles / Pumarín (Asturias)</x:v>
      </x:c>
      <x:c r="D166" s="15" t="str">
        <x:v>LOCALIZADO / YA EN EXCEL</x:v>
      </x:c>
      <x:c r="E166" s="15" t="str">
        <x:v>https://dialnet.unirioja.es/descarga/articulo/3016531.pdf</x:v>
      </x:c>
      <x:c r="F166" s="15" t="str"/>
      <x:c r="G166" s="15" t="str">
        <x:v>NO LOCALIZADO EN FUENTES ABIERTAS</x:v>
      </x:c>
      <x:c r="H166" s="15" t="str">
        <x:v>Búsqueda/revisión sin coincidencia fiable</x:v>
      </x:c>
      <x:c r="I166" s="15" t="str">
        <x:v>Lugar de nacimiento localizado; lugar de defunción no hallado con suficiente fiabilidad.</x:v>
      </x:c>
      <x:c r="J166" s="15" t="str">
        <x:v>Seguir en padrones y protocolos para matrimonio/descendencia.</x:v>
      </x:c>
    </x:row>
    <x:row r="167">
      <x:c r="A167" s="15" t="n">
        <x:v>174</x:v>
      </x:c>
      <x:c r="B167" s="15" t="str">
        <x:v>Gómez Ares de Trelles (seglar, documentado en 1572)</x:v>
      </x:c>
      <x:c r="C167" s="15" t="str">
        <x:v>Trelles (Asturias)</x:v>
      </x:c>
      <x:c r="D167" s="15" t="str">
        <x:v>LOCALIZADO / YA EN EXCEL</x:v>
      </x:c>
      <x:c r="E167" s="15" t="str">
        <x:v>https://dialnet.unirioja.es/descarga/articulo/4151486.pdf</x:v>
      </x:c>
      <x:c r="F167" s="15" t="str"/>
      <x:c r="G167" s="15" t="str">
        <x:v>NO LOCALIZADO EN FUENTES ABIERTAS</x:v>
      </x:c>
      <x:c r="H167" s="15" t="str">
        <x:v>Búsqueda/revisión sin coincidencia fiable</x:v>
      </x:c>
      <x:c r="I167" s="15" t="str">
        <x:v>Lugar de nacimiento localizado; lugar de defunción no hallado con suficiente fiabilidad.</x:v>
      </x:c>
      <x:c r="J167" s="15" t="str">
        <x:v>16ª pasada: no aparece fuera del padrón de 1572 una referencia abierta inequí...</x:v>
      </x:c>
    </x:row>
    <x:row r="168">
      <x:c r="A168" s="151" t="n">
        <x:v>175</x:v>
      </x:c>
      <x:c r="B168" s="151" t="str">
        <x:v>Alonso Fernández del Valle y Trelles</x:v>
      </x:c>
      <x:c r="C168" s="151" t="str">
        <x:v>Villacondide / La Murola (Asturias)</x:v>
      </x:c>
      <x:c r="D168" s="151" t="str">
        <x:v>RESIDENCIA/FAMILIA; nacimiento exacto no probado</x:v>
      </x:c>
      <x:c r="E168" s="151" t="str">
        <x:v>Gonzalo Anes / libro de difuntos</x:v>
      </x:c>
      <x:c r="F168" s="151" t="str"/>
      <x:c r="G168" s="151" t="str">
        <x:v>LUGAR DE MUERTE NO EXPLÍCITO</x:v>
      </x:c>
      <x:c r="H168" s="151" t="str">
        <x:v>Gonzalo Anes</x:v>
      </x:c>
      <x:c r="I168" s="151" t="str">
        <x:v>Sepultado en Villacondide el 10/07/1739; vecino de La Murola.</x:v>
      </x:c>
      <x:c r="J168" s="151" t="str">
        <x:v>Bautismo/matrimonio</x:v>
      </x:c>
    </x:row>
    <x:row r="169">
      <x:c r="A169" s="151" t="n">
        <x:v>176</x:v>
      </x:c>
      <x:c r="B169" s="151" t="str">
        <x:v>María Francisca del Valle y Trelles</x:v>
      </x:c>
      <x:c r="C169" s="151" t="str">
        <x:v>Villacondide / La Murola (Asturias)</x:v>
      </x:c>
      <x:c r="D169" s="151" t="str">
        <x:v>ORIGEN FAMILIAR; nacimiento exacto no probado</x:v>
      </x:c>
      <x:c r="E169" s="151" t="str">
        <x:v>Gonzalo Anes</x:v>
      </x:c>
      <x:c r="F169" s="151" t="str">
        <x:v>Villacondide, Coaña (Asturias)</x:v>
      </x:c>
      <x:c r="G169" s="151" t="str">
        <x:v>CONFIRMADO EXPLÍCITAMENTE 23ª</x:v>
      </x:c>
      <x:c r="H169" s="151" t="str">
        <x:v>Gonzalo Anes</x:v>
      </x:c>
      <x:c r="I169" s="151" t="str">
        <x:v>Defunción 03/05/1760 en Villacondide.</x:v>
      </x:c>
      <x:c r="J169" s="151" t="str">
        <x:v>Bautismo</x:v>
      </x:c>
    </x:row>
    <x:row r="170">
      <x:c r="A170" s="151" t="n">
        <x:v>177</x:v>
      </x:c>
      <x:c r="B170" s="151" t="str">
        <x:v>Juan García Infanzón y Omaña</x:v>
      </x:c>
      <x:c r="C170" s="151" t="str">
        <x:v>Coaña (Asturias)</x:v>
      </x:c>
      <x:c r="D170" s="151" t="str">
        <x:v>CONFIRMADO EXPLÍCITAMENTE 23ª</x:v>
      </x:c>
      <x:c r="E170" s="151" t="str">
        <x:v>Gonzalo Anes</x:v>
      </x:c>
      <x:c r="F170" s="151" t="str"/>
      <x:c r="G170" s="151" t="str">
        <x:v>ANTES DE 03/06/1744; lugar no localizado</x:v>
      </x:c>
      <x:c r="H170" s="151" t="str">
        <x:v>Gonzalo Anes</x:v>
      </x:c>
      <x:c r="I170" s="151" t="str">
        <x:v>Primer esposo de María Francisca; natural/bautizado en Coaña.</x:v>
      </x:c>
      <x:c r="J170" s="151" t="str">
        <x:v>Bautismo y defunción</x:v>
      </x:c>
    </x:row>
    <x:row r="171">
      <x:c r="A171" s="151" t="n">
        <x:v>178</x:v>
      </x:c>
      <x:c r="B171" s="151" t="str">
        <x:v>Francisco-Antonio-Pablo García Infanzón y Omaña</x:v>
      </x:c>
      <x:c r="C171" s="151" t="str">
        <x:v>Villacondide, Coaña (Asturias)</x:v>
      </x:c>
      <x:c r="D171" s="151" t="str">
        <x:v>CONFIRMADO EXPLÍCITAMENTE 23ª</x:v>
      </x:c>
      <x:c r="E171" s="151" t="str">
        <x:v>Gonzalo Anes</x:v>
      </x:c>
      <x:c r="F171" s="151" t="str">
        <x:v>La Murola, Villacondide, Coaña (Asturias)</x:v>
      </x:c>
      <x:c r="G171" s="151" t="str">
        <x:v>CONFIRMADO EXPLÍCITAMENTE 23ª</x:v>
      </x:c>
      <x:c r="H171" s="151" t="str">
        <x:v>Gonzalo Anes</x:v>
      </x:c>
      <x:c r="I171" s="151" t="str">
        <x:v>Nacido 30/06/1742; falleció en su casa de La Murola en enero de 1808.</x:v>
      </x:c>
      <x:c r="J171" s="151" t="str">
        <x:v>Partida de entierro para día exacto</x:v>
      </x:c>
    </x:row>
    <x:row r="172">
      <x:c r="A172" s="151" t="n">
        <x:v>179</x:v>
      </x:c>
      <x:c r="B172" s="151" t="str">
        <x:v>Bernardo García del Real</x:v>
      </x:c>
      <x:c r="C172" s="151" t="str">
        <x:v>Trelles / Coaña (Asturias)</x:v>
      </x:c>
      <x:c r="D172" s="151" t="str">
        <x:v>VECINDAD FAMILIAR; nacimiento no probado</x:v>
      </x:c>
      <x:c r="E172" s="151" t="str">
        <x:v>Gonzalo Anes</x:v>
      </x:c>
      <x:c r="F172" s="151" t="str"/>
      <x:c r="G172" s="151" t="str">
        <x:v>FALLECIDO 1754; lugar no explícito</x:v>
      </x:c>
      <x:c r="H172" s="151" t="str">
        <x:v>Gonzalo Anes</x:v>
      </x:c>
      <x:c r="I172" s="151" t="str">
        <x:v>Sepultado el 07/02/1754.</x:v>
      </x:c>
      <x:c r="J172" s="151" t="str">
        <x:v>Bautismo y defunción</x:v>
      </x:c>
    </x:row>
    <x:row r="173">
      <x:c r="A173" s="151" t="n">
        <x:v>180</x:v>
      </x:c>
      <x:c r="B173" s="151" t="str">
        <x:v>Juan García del Real</x:v>
      </x:c>
      <x:c r="C173" s="151" t="str">
        <x:v>Trelles, Coaña (Asturias)</x:v>
      </x:c>
      <x:c r="D173" s="151" t="str">
        <x:v>SOLO VECINDAD; nacimiento no probado</x:v>
      </x:c>
      <x:c r="E173" s="151" t="str">
        <x:v>Partida matrimonial del hijo</x:v>
      </x:c>
      <x:c r="F173" s="151" t="str"/>
      <x:c r="G173" s="151" t="str">
        <x:v>ANTES DE 03/06/1744; lugar no localizado</x:v>
      </x:c>
      <x:c r="H173" s="151" t="str">
        <x:v>Partida matrimonial del hijo</x:v>
      </x:c>
      <x:c r="I173" s="151" t="str">
        <x:v>Vecino de Trelles; ya difunto en 1744.</x:v>
      </x:c>
      <x:c r="J173" s="151" t="str">
        <x:v>Padrones/bautismo</x:v>
      </x:c>
    </x:row>
    <x:row r="174">
      <x:c r="A174" s="151" t="n">
        <x:v>181</x:v>
      </x:c>
      <x:c r="B174" s="151" t="str">
        <x:v>Juana Fernández</x:v>
      </x:c>
      <x:c r="C174" s="151" t="str">
        <x:v>Trelles, Coaña (Asturias)</x:v>
      </x:c>
      <x:c r="D174" s="151" t="str">
        <x:v>SOLO VECINDAD; nacimiento no probado</x:v>
      </x:c>
      <x:c r="E174" s="151" t="str">
        <x:v>Partida matrimonial del hijo</x:v>
      </x:c>
      <x:c r="F174" s="151" t="str"/>
      <x:c r="G174" s="151" t="str">
        <x:v>ANTES DE 03/06/1744; lugar no localizado</x:v>
      </x:c>
      <x:c r="H174" s="151" t="str">
        <x:v>Partida matrimonial del hijo</x:v>
      </x:c>
      <x:c r="I174" s="151" t="str">
        <x:v>Vecina de Trelles; ya difunta en 1744.</x:v>
      </x:c>
      <x:c r="J174" s="151" t="str">
        <x:v>Padrones/bautismo</x:v>
      </x:c>
    </x:row>
    <x:row r="175">
      <x:c r="A175" s="154" t="n">
        <x:v>182</x:v>
      </x:c>
      <x:c r="B175" s="154" t="str">
        <x:v>Bárbara Cienfuegos</x:v>
      </x:c>
      <x:c r="C175" s="154" t="str">
        <x:v>Villacondide, Coaña (Asturias)</x:v>
      </x:c>
      <x:c r="D175" s="154" t="str">
        <x:v>CONFIRMADO 24ª</x:v>
      </x:c>
      <x:c r="E175" s="154" t="str">
        <x:v>Gonzalo Anes / libros parroquiales de Villacondide</x:v>
      </x:c>
      <x:c r="F175" s="154" t="str"/>
      <x:c r="G175" s="154" t="str">
        <x:v>NO LOCALIZADO</x:v>
      </x:c>
      <x:c r="H175" s="154" t="str">
        <x:v>Gonzalo Anes / libros parroquiales de Villacondide</x:v>
      </x:c>
      <x:c r="I175" s="154" t="str">
        <x:v>Casó en Villacondide el 21/04/1763 con Francisco-Antonio-Pablo García Infanzón y Omaña. Una partida de 1853 declara expresamente que Bárbara Cienfuegos y su marido eran naturales de Villacondide.</x:v>
      </x:c>
      <x:c r="J175" s="154" t="str">
        <x:v>Buscar partida de bautismo para fecha exacta y padres.</x:v>
      </x:c>
    </x:row>
    <x:row r="176">
      <x:c r="A176" s="154" t="n">
        <x:v>183</x:v>
      </x:c>
      <x:c r="B176" s="154" t="str">
        <x:v>María Antonia Cayetana García Infanzón y Cienfuegos</x:v>
      </x:c>
      <x:c r="C176" s="154" t="str">
        <x:v>La Murola, Villacondide, Coaña (Asturias)</x:v>
      </x:c>
      <x:c r="D176" s="154" t="str">
        <x:v>CONFIRMADO 24ª</x:v>
      </x:c>
      <x:c r="E176" s="154" t="str">
        <x:v>Gonzalo Anes / libros parroquiales de Villacondide</x:v>
      </x:c>
      <x:c r="F176" s="154" t="str"/>
      <x:c r="G176" s="154" t="str">
        <x:v>NO LOCALIZADO</x:v>
      </x:c>
      <x:c r="H176" s="154" t="str">
        <x:v>Gonzalo Anes / libros parroquiales de Villacondide</x:v>
      </x:c>
      <x:c r="I176" s="154" t="str">
        <x:v>Primera hija de Francisco García Infanzón y Bárbara Cienfuegos. Nació el 08/07/1763 y fue bautizada el 09/07/1763. Casó en Villacondide el 09/04/1791 con Francisco Rodríguez Arango.</x:v>
      </x:c>
      <x:c r="J176" s="154" t="str">
        <x:v>Buscar defunción y descendencia completa.</x:v>
      </x:c>
    </x:row>
    <x:row r="177">
      <x:c r="A177" s="154" t="n">
        <x:v>184</x:v>
      </x:c>
      <x:c r="B177" s="154" t="str">
        <x:v>Francisca Bárbara García Infanzón y Cienfuegos</x:v>
      </x:c>
      <x:c r="C177" s="154" t="str">
        <x:v>La Murola, Villacondide, Coaña (Asturias)</x:v>
      </x:c>
      <x:c r="D177" s="154" t="str">
        <x:v>CONFIRMADO 24ª</x:v>
      </x:c>
      <x:c r="E177" s="154" t="str">
        <x:v>Gonzalo Anes / libros parroquiales de Villacondide</x:v>
      </x:c>
      <x:c r="F177" s="154" t="str">
        <x:v>Villacondide, Coaña (Asturias)</x:v>
      </x:c>
      <x:c r="G177" s="154" t="str">
        <x:v>CONFIRMADO 24ª</x:v>
      </x:c>
      <x:c r="H177" s="154" t="str">
        <x:v>Gonzalo Anes / libros parroquiales de Villacondide</x:v>
      </x:c>
      <x:c r="I177" s="154" t="str">
        <x:v>Nació el 01/12/1765 y fue bautizada el 04/12/1765. La partida de entierro de 1853 la declara natural de Villacondide. Falleció el 16/10/1853 y fue enterrada el 18/10/1853. Casó con Domingo Méndez Cabodevilla.</x:v>
      </x:c>
      <x:c r="J177" s="154" t="str">
        <x:v>Seguir su descendencia, de la que el estudio documenta varias generaciones.</x:v>
      </x:c>
    </x:row>
    <x:row r="178">
      <x:c r="A178" s="154" t="n">
        <x:v>185</x:v>
      </x:c>
      <x:c r="B178" s="154" t="str">
        <x:v>José Francisco García Infanzón y Cienfuegos</x:v>
      </x:c>
      <x:c r="C178" s="154" t="str">
        <x:v>La Murola, Villacondide, Coaña (Asturias)</x:v>
      </x:c>
      <x:c r="D178" s="154" t="str">
        <x:v>CONFIRMADO 24ª</x:v>
      </x:c>
      <x:c r="E178" s="154" t="str">
        <x:v>Gonzalo Anes / libros parroquiales de Villacondide</x:v>
      </x:c>
      <x:c r="F178" s="154" t="str"/>
      <x:c r="G178" s="154" t="str">
        <x:v>FECHA ACOTADA; lugar no localizado</x:v>
      </x:c>
      <x:c r="H178" s="154" t="str">
        <x:v>Gonzalo Anes / libros parroquiales de Villacondide</x:v>
      </x:c>
      <x:c r="I178" s="154" t="str">
        <x:v>Primer hijo varón; bautizado el 22/06/1769. Casó con Josefa Cuadrado y Cancio y, viudo, con Teresa Suárez. Fue enterrado en Villacondide el 30/06/1817; la partida indica que murió «de accidente». El lugar físico de muerte no se explicita.</x:v>
      </x:c>
      <x:c r="J178" s="154" t="str">
        <x:v>Buscar partida de bautismo completa y defunción para lugar exacto.</x:v>
      </x:c>
    </x:row>
    <x:row r="179">
      <x:c r="A179" s="154" t="n">
        <x:v>186</x:v>
      </x:c>
      <x:c r="B179" s="154" t="str">
        <x:v>Alonso García Infanzón y Cienfuegos</x:v>
      </x:c>
      <x:c r="C179" s="154" t="str">
        <x:v>La Murola, Villacondide, Coaña (Asturias)</x:v>
      </x:c>
      <x:c r="D179" s="154" t="str">
        <x:v>CONFIRMADO 24ª</x:v>
      </x:c>
      <x:c r="E179" s="154" t="str">
        <x:v>Gonzalo Anes / libros parroquiales de Villacondide</x:v>
      </x:c>
      <x:c r="F179" s="154" t="str"/>
      <x:c r="G179" s="154" t="str">
        <x:v>NO LOCALIZADO</x:v>
      </x:c>
      <x:c r="H179" s="154" t="str">
        <x:v>Gonzalo Anes / libros parroquiales de Villacondide</x:v>
      </x:c>
      <x:c r="I179" s="154" t="str">
        <x:v>Nació el 30/07/1771 y fue bautizado el 01/08/1771. En el padrón de 1801 figura como hijo varón ausente.</x:v>
      </x:c>
      <x:c r="J179" s="154" t="str">
        <x:v>Buscar matrimonio, residencia posterior y defunción.</x:v>
      </x:c>
    </x:row>
    <x:row r="180">
      <x:c r="A180" s="154" t="n">
        <x:v>187</x:v>
      </x:c>
      <x:c r="B180" s="154" t="str">
        <x:v>Diego Antonio García Infanzón y Cienfuegos</x:v>
      </x:c>
      <x:c r="C180" s="154" t="str">
        <x:v>La Murola, Villacondide, Coaña (Asturias)</x:v>
      </x:c>
      <x:c r="D180" s="154" t="str">
        <x:v>CONFIRMADO 24ª</x:v>
      </x:c>
      <x:c r="E180" s="154" t="str">
        <x:v>Gonzalo Anes / libros parroquiales de Villacondide</x:v>
      </x:c>
      <x:c r="F180" s="154" t="str"/>
      <x:c r="G180" s="154" t="str">
        <x:v>NO LOCALIZADO</x:v>
      </x:c>
      <x:c r="H180" s="154" t="str">
        <x:v>Gonzalo Anes / libros parroquiales de Villacondide</x:v>
      </x:c>
      <x:c r="I180" s="154" t="str">
        <x:v>Nació el 29/10/1774 y fue bautizado el 05/11/1774.</x:v>
      </x:c>
      <x:c r="J180" s="154" t="str">
        <x:v>Buscar padrones posteriores para determinar si murió joven o emigró.</x:v>
      </x:c>
    </x:row>
    <x:row r="181">
      <x:c r="A181" s="154" t="n">
        <x:v>188</x:v>
      </x:c>
      <x:c r="B181" s="154" t="str">
        <x:v>Clara García Infanzón y Cienfuegos</x:v>
      </x:c>
      <x:c r="C181" s="154" t="str">
        <x:v>La Murola, Villacondide, Coaña (Asturias)</x:v>
      </x:c>
      <x:c r="D181" s="154" t="str">
        <x:v>CONFIRMADO 24ª</x:v>
      </x:c>
      <x:c r="E181" s="154" t="str">
        <x:v>Gonzalo Anes / libros parroquiales de Villacondide</x:v>
      </x:c>
      <x:c r="F181" s="154" t="str">
        <x:v>Villacondide, Coaña (Asturias)</x:v>
      </x:c>
      <x:c r="G181" s="154" t="str">
        <x:v>CONFIRMADO 24ª</x:v>
      </x:c>
      <x:c r="H181" s="154" t="str">
        <x:v>Gonzalo Anes / libros parroquiales de Villacondide</x:v>
      </x:c>
      <x:c r="I181" s="154" t="str">
        <x:v>Nació el 21/10/1776 y fue bautizada el 23/10/1776. Casó con Luis Suárez del Pedrón el 27/02/1797. Fue enterrada en Villacondide el 21/02/1847; la partida la da viuda y vecina del Ferreiro, Villacondide.</x:v>
      </x:c>
      <x:c r="J181" s="154" t="str">
        <x:v>Buscar partida de defunción para distinguir fecha de muerte y entierro si no coinciden.</x:v>
      </x:c>
    </x:row>
    <x:row r="182">
      <x:c r="A182" s="154" t="n">
        <x:v>189</x:v>
      </x:c>
      <x:c r="B182" s="154" t="str">
        <x:v>Antonia María García Infanzón y Cienfuegos</x:v>
      </x:c>
      <x:c r="C182" s="154" t="str">
        <x:v>La Murola, Villacondide, Coaña (Asturias)</x:v>
      </x:c>
      <x:c r="D182" s="154" t="str">
        <x:v>CONFIRMADO 24ª</x:v>
      </x:c>
      <x:c r="E182" s="154" t="str">
        <x:v>Gonzalo Anes / libros parroquiales de Villacondide</x:v>
      </x:c>
      <x:c r="F182" s="154" t="str"/>
      <x:c r="G182" s="154" t="str">
        <x:v>FECHA ACOTADA; lugar no localizado</x:v>
      </x:c>
      <x:c r="H182" s="154" t="str">
        <x:v>Gonzalo Anes / libros parroquiales de Villacondide</x:v>
      </x:c>
      <x:c r="I182" s="154" t="str">
        <x:v>Nació el 11/02/1779 y fue bautizada el 13/02/1779. No aparece entre los hijos supervivientes en la partida de entierro del padre de 1808, por lo que el estudio considera que había fallecido antes.</x:v>
      </x:c>
      <x:c r="J182" s="154" t="str">
        <x:v>Buscar partida de defunción entre 1779 y 1808.</x:v>
      </x:c>
    </x:row>
    <x:row r="183">
      <x:c r="A183" s="154" t="n">
        <x:v>190</x:v>
      </x:c>
      <x:c r="B183" s="154" t="str">
        <x:v>Josefa García Infanzón y Cienfuegos</x:v>
      </x:c>
      <x:c r="C183" s="154" t="str">
        <x:v>La Murola, Villacondide, Coaña (Asturias)</x:v>
      </x:c>
      <x:c r="D183" s="154" t="str">
        <x:v>CONFIRMADO 24ª</x:v>
      </x:c>
      <x:c r="E183" s="154" t="str">
        <x:v>Gonzalo Anes / libros parroquiales de Villacondide</x:v>
      </x:c>
      <x:c r="F183" s="154" t="str"/>
      <x:c r="G183" s="154" t="str">
        <x:v>FECHA ACOTADA; lugar no localizado</x:v>
      </x:c>
      <x:c r="H183" s="154" t="str">
        <x:v>Gonzalo Anes / libros parroquiales de Villacondide</x:v>
      </x:c>
      <x:c r="I183" s="154" t="str">
        <x:v>Nació el 29/03/1782 y fue bautizada el 30/03/1782. Figuraba viva al fallecer su padre en 1808.</x:v>
      </x:c>
      <x:c r="J183" s="154" t="str">
        <x:v>Buscar matrimonio y defunción.</x:v>
      </x:c>
    </x:row>
    <x:row r="184">
      <x:c r="A184" s="154" t="n">
        <x:v>191</x:v>
      </x:c>
      <x:c r="B184" s="154" t="str">
        <x:v>María Antonia García Infanzón y Cienfuegos</x:v>
      </x:c>
      <x:c r="C184" s="154" t="str">
        <x:v>La Murola, Villacondide, Coaña (Asturias)</x:v>
      </x:c>
      <x:c r="D184" s="154" t="str">
        <x:v>CONFIRMADO 24ª</x:v>
      </x:c>
      <x:c r="E184" s="154" t="str">
        <x:v>Gonzalo Anes / libros parroquiales de Villacondide</x:v>
      </x:c>
      <x:c r="F184" s="154" t="str"/>
      <x:c r="G184" s="154" t="str">
        <x:v>FECHA ACOTADA; lugar no localizado</x:v>
      </x:c>
      <x:c r="H184" s="154" t="str">
        <x:v>Gonzalo Anes / libros parroquiales de Villacondide</x:v>
      </x:c>
      <x:c r="I184" s="154" t="str">
        <x:v>Nació el 25/02/1784 y fue bautizada el 27/02/1784. No aparece entre los hijos supervivientes en 1808; el estudio considera que había fallecido antes.</x:v>
      </x:c>
      <x:c r="J184" s="154" t="str">
        <x:v>Buscar partida de defunción entre 1784 y 1808.</x:v>
      </x:c>
    </x:row>
    <x:row r="185">
      <x:c r="A185" s="154" t="n">
        <x:v>192</x:v>
      </x:c>
      <x:c r="B185" s="154" t="str">
        <x:v>Tomás Antonio García Infanzón y Cienfuegos</x:v>
      </x:c>
      <x:c r="C185" s="154" t="str">
        <x:v>La Murola, Villacondide, Coaña (Asturias)</x:v>
      </x:c>
      <x:c r="D185" s="154" t="str">
        <x:v>CONFIRMADO 24ª</x:v>
      </x:c>
      <x:c r="E185" s="154" t="str">
        <x:v>Gonzalo Anes / libros parroquiales de Villacondide</x:v>
      </x:c>
      <x:c r="F185" s="154" t="str"/>
      <x:c r="G185" s="154" t="str">
        <x:v>FECHA ACOTADA; lugar no localizado</x:v>
      </x:c>
      <x:c r="H185" s="154" t="str">
        <x:v>Gonzalo Anes / libros parroquiales de Villacondide</x:v>
      </x:c>
      <x:c r="I185" s="154" t="str">
        <x:v>Décimo hijo de Francisco y Bárbara. Nació el 18/10/1786 en la casa de La Murola y fue bautizado el 21/10/1786. Murió en 1809 luchando contra los franceses; fue enterrado el 20/03/1809. La partida lo llama soldado y dice que murió «de accidente».</x:v>
      </x:c>
      <x:c r="J185" s="154" t="str">
        <x:v>Buscar si el libro de muertos especifica el lugar concreto del combate o fallecimiento.</x:v>
      </x:c>
    </x:row>
    <x:row r="186">
      <x:c r="A186" s="154" t="n">
        <x:v>193</x:v>
      </x:c>
      <x:c r="B186" s="154" t="str">
        <x:v>Francisco Rodríguez Arango</x:v>
      </x:c>
      <x:c r="C186" s="154" t="str">
        <x:v>Pumares / Santa Eulalia de Oscos (Asturias)</x:v>
      </x:c>
      <x:c r="D186" s="154" t="str">
        <x:v>CONFIRMADO 24ª</x:v>
      </x:c>
      <x:c r="E186" s="154" t="str">
        <x:v>Gonzalo Anes / libros parroquiales de Villacondide</x:v>
      </x:c>
      <x:c r="F186" s="154" t="str"/>
      <x:c r="G186" s="154" t="str">
        <x:v>NO LOCALIZADO</x:v>
      </x:c>
      <x:c r="H186" s="154" t="str">
        <x:v>Gonzalo Anes / libros parroquiales de Villacondide</x:v>
      </x:c>
      <x:c r="I186" s="154" t="str">
        <x:v>Casó con María Antonia Cayetana García Infanzón y Cienfuegos el 09/04/1791 en Villacondide. Era hijo de Francisco Antonio Rodríguez Arango y Jacinta Prelo y Castrillón, vecinos de Pumares.</x:v>
      </x:c>
      <x:c r="J186" s="154" t="str">
        <x:v>Buscar bautismo y defunción.</x:v>
      </x:c>
    </x:row>
    <x:row r="187">
      <x:c r="A187" s="154" t="n">
        <x:v>194</x:v>
      </x:c>
      <x:c r="B187" s="154" t="str">
        <x:v>Domingo Méndez Cabodevilla</x:v>
      </x:c>
      <x:c r="C187" s="154" t="str">
        <x:v>Cabodevilla / Villacondide (Asturias)</x:v>
      </x:c>
      <x:c r="D187" s="154" t="str">
        <x:v>CONFIRMADO 24ª</x:v>
      </x:c>
      <x:c r="E187" s="154" t="str">
        <x:v>Gonzalo Anes / libros parroquiales de Villacondide</x:v>
      </x:c>
      <x:c r="F187" s="154" t="str">
        <x:v>Río Navia (Asturias)</x:v>
      </x:c>
      <x:c r="G187" s="154" t="str">
        <x:v>CONFIRMADO 24ª</x:v>
      </x:c>
      <x:c r="H187" s="154" t="str">
        <x:v>Gonzalo Anes / libros parroquiales de Villacondide</x:v>
      </x:c>
      <x:c r="I187" s="154" t="str">
        <x:v>Casó con Francisca Bárbara García Infanzón y Cienfuegos. Gonzalo Anes indica que falleció en el río Navia el 16/09/1846.</x:v>
      </x:c>
      <x:c r="J187" s="154" t="str">
        <x:v>Buscar partida de bautismo y detalles de la defunción.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42" hidden="0" customWidth="1"/>
    <x:col min="3" max="3" width="22" hidden="0" customWidth="1"/>
    <x:col min="4" max="4" width="36" hidden="0" customWidth="1"/>
    <x:col min="5" max="5" width="46" hidden="0" customWidth="1"/>
    <x:col min="6" max="6" width="18" hidden="0" customWidth="1"/>
    <x:col min="7" max="7" width="50" hidden="0" customWidth="1"/>
    <x:col min="8" max="8" width="70" hidden="0" customWidth="1"/>
  </x:cols>
  <x:sheetData>
    <x:row r="1">
      <x:c r="A1" s="161" t="str">
        <x:v>Nivel</x:v>
      </x:c>
      <x:c r="B1" s="161" t="str">
        <x:v>Persona / generación</x:v>
      </x:c>
      <x:c r="C1" s="161" t="str">
        <x:v>Fecha aprox.</x:v>
      </x:c>
      <x:c r="D1" s="161" t="str">
        <x:v>Lugar / solar</x:v>
      </x:c>
      <x:c r="E1" s="161" t="str">
        <x:v>Cómo enlaza</x:v>
      </x:c>
      <x:c r="F1" s="161" t="str">
        <x:v>Calidad</x:v>
      </x:c>
      <x:c r="G1" s="161" t="str">
        <x:v>Fuente</x:v>
      </x:c>
      <x:c r="H1" s="161" t="str">
        <x:v>Observación</x:v>
      </x:c>
    </x:row>
    <x:row r="2">
      <x:c r="A2" s="162" t="str">
        <x:v>DOCUMENTADO</x:v>
      </x:c>
      <x:c r="B2" s="162" t="str">
        <x:v>Gonzalo Pérez Pico de Coaña (ID171)</x:v>
      </x:c>
      <x:c r="C2" s="162" t="str">
        <x:v>s. XV aprox.</x:v>
      </x:c>
      <x:c r="D2" s="162" t="str">
        <x:v>Casa solar de Coaña; Meiro/Nadou/Castañeira</x:v>
      </x:c>
      <x:c r="E2" s="162" t="str">
        <x:v>Padre de Álvaro González de Coaña (ID170)</x:v>
      </x:c>
      <x:c r="F2" s="162" t="str">
        <x:v>ALTA</x:v>
      </x:c>
      <x:c r="G2" s="162" t="str">
        <x:v>https://dialnet.unirioja.es/descarga/articulo/3016531.pdf</x:v>
      </x:c>
      <x:c r="H2" s="162" t="str">
        <x:v>Extremo más antiguo de la rama Coaña con filiación clara en el testamento de Benito Trelles.</x:v>
      </x:c>
    </x:row>
    <x:row r="3">
      <x:c r="A3" s="162" t="str">
        <x:v>DOCUMENTADO</x:v>
      </x:c>
      <x:c r="B3" s="162" t="str">
        <x:v>Álvaro González de Coaña (ID170)</x:v>
      </x:c>
      <x:c r="C3" s="162" t="str">
        <x:v>s. XV</x:v>
      </x:c>
      <x:c r="D3" s="162" t="str">
        <x:v>Meiro / Coaña</x:v>
      </x:c>
      <x:c r="E3" s="162" t="str">
        <x:v>Hijo de ID171; padre de Alonso González de Coaña (ID167)</x:v>
      </x:c>
      <x:c r="F3" s="162" t="str">
        <x:v>ALTA</x:v>
      </x:c>
      <x:c r="G3" s="162" t="str">
        <x:v>https://dialnet.unirioja.es/descarga/articulo/3016531.pdf</x:v>
      </x:c>
      <x:c r="H3" s="162" t="str">
        <x:v>Señor de la casa/solar de Meiro en la tradición familiar; filiación recogida en testamento.</x:v>
      </x:c>
    </x:row>
    <x:row r="4">
      <x:c r="A4" s="162" t="str">
        <x:v>DOCUMENTADO</x:v>
      </x:c>
      <x:c r="B4" s="162" t="str">
        <x:v>Alonso González de Coaña (ID167)</x:v>
      </x:c>
      <x:c r="C4" s="162" t="str">
        <x:v>s. XV-XVI</x:v>
      </x:c>
      <x:c r="D4" s="162" t="str">
        <x:v>Meiro / Coaña</x:v>
      </x:c>
      <x:c r="E4" s="162" t="str">
        <x:v>Hijo de ID170; padre de Lope Suárez (ID87)</x:v>
      </x:c>
      <x:c r="F4" s="162" t="str">
        <x:v>ALTA</x:v>
      </x:c>
      <x:c r="G4" s="162" t="str">
        <x:v>https://dialnet.unirioja.es/descarga/articulo/3016531.pdf</x:v>
      </x:c>
      <x:c r="H4" s="162" t="str">
        <x:v>Casó con Catalina Suárez de Trelles.</x:v>
      </x:c>
    </x:row>
    <x:row r="5">
      <x:c r="A5" s="162" t="str">
        <x:v>DOCUMENTADO / CONFLICTO DE NOMBRE</x:v>
      </x:c>
      <x:c r="B5" s="162" t="str">
        <x:v>Arias / Gómez Arias de Trelles (ID169)</x:v>
      </x:c>
      <x:c r="C5" s="162" t="str">
        <x:v>s. XV-XVI</x:v>
      </x:c>
      <x:c r="D5" s="162" t="str">
        <x:v>Solar de Trelles</x:v>
      </x:c>
      <x:c r="E5" s="162" t="str">
        <x:v>Padre de Catalina Suárez de Trelles (ID168)</x:v>
      </x:c>
      <x:c r="F5" s="162" t="str">
        <x:v>MEDIA-ALTA</x:v>
      </x:c>
      <x:c r="G5" s="162" t="str">
        <x:v>https://dialnet.unirioja.es/descarga/articulo/3016531.pdf</x:v>
      </x:c>
      <x:c r="H5" s="162" t="str">
        <x:v>Anes reproduce 'Arias'; Trelles Villademoros da 'Gómez Arias'.</x:v>
      </x:c>
    </x:row>
    <x:row r="6">
      <x:c r="A6" s="162" t="str">
        <x:v>PRIMER PADRÓN CONSERVADO</x:v>
      </x:c>
      <x:c r="B6" s="162" t="str">
        <x:v>Gómez Ares de Trelles (ID121)</x:v>
      </x:c>
      <x:c r="C6" s="162" t="str">
        <x:v>activo 1524–1554</x:v>
      </x:c>
      <x:c r="D6" s="162" t="str">
        <x:v>Trelles</x:v>
      </x:c>
      <x:c r="E6" s="162" t="str">
        <x:v>Posible identidad con Gómez Arias/Arias (ID169)</x:v>
      </x:c>
      <x:c r="F6" s="162" t="str">
        <x:v>MEDIA</x:v>
      </x:c>
      <x:c r="G6" s="162" t="str">
        <x:v>https://dialnet.unirioja.es/descarga/articulo/3016531.pdf</x:v>
      </x:c>
      <x:c r="H6" s="162" t="str">
        <x:v>Persona documentalmente real; parentesco exacto con ID169 sigue siendo hipótesis.</x:v>
      </x:c>
    </x:row>
    <x:row r="7">
      <x:c r="A7" s="163" t="str">
        <x:v>TRADICIÓN</x:v>
      </x:c>
      <x:c r="B7" s="163" t="str">
        <x:v>Lope Díaz de Trelles (ID132)</x:v>
      </x:c>
      <x:c r="C7" s="163" t="str">
        <x:v>s. XV</x:v>
      </x:c>
      <x:c r="D7" s="163" t="str">
        <x:v>Pumarín / Trelles</x:v>
      </x:c>
      <x:c r="E7" s="163" t="str">
        <x:v>Tradicional padre de un Suero González</x:v>
      </x:c>
      <x:c r="F7" s="163" t="str">
        <x:v>MUY BAJA</x:v>
      </x:c>
      <x:c r="G7" s="163" t="str">
        <x:v>https://archive.org/stream/diccionariohist01pascgoog/diccionariohist01pascgoog_djvu.txt</x:v>
      </x:c>
      <x:c r="H7" s="163" t="str">
        <x:v>La revisión moderna de Gonzalo Anes no considera fundamentada la cadena medieval.</x:v>
      </x:c>
    </x:row>
    <x:row r="8">
      <x:c r="A8" s="163" t="str">
        <x:v>TRADICIÓN</x:v>
      </x:c>
      <x:c r="B8" s="163" t="str">
        <x:v>Garci Sánchez de Trelles (ID131)</x:v>
      </x:c>
      <x:c r="C8" s="163" t="str">
        <x:v>s. XV</x:v>
      </x:c>
      <x:c r="D8" s="163" t="str">
        <x:v>Castro de Pumarín</x:v>
      </x:c>
      <x:c r="E8" s="163" t="str">
        <x:v>Tradicional padre de Lope Díaz</x:v>
      </x:c>
      <x:c r="F8" s="163" t="str">
        <x:v>MUY BAJA</x:v>
      </x:c>
      <x:c r="G8" s="163" t="str">
        <x:v>https://archive.org/stream/diccionariohist01pascgoog/diccionariohist01pascgoog_djvu.txt</x:v>
      </x:c>
      <x:c r="H8" s="163" t="str">
        <x:v>La genealogía antigua dice que hizo solar y casa en el Castro de Pumarín.</x:v>
      </x:c>
    </x:row>
    <x:row r="9">
      <x:c r="A9" s="163" t="str">
        <x:v>TRADICIÓN</x:v>
      </x:c>
      <x:c r="B9" s="163" t="str">
        <x:v>Mendo Díaz de Trelles (ID130)</x:v>
      </x:c>
      <x:c r="C9" s="163" t="str">
        <x:v>fines s. XIV / s. XV</x:v>
      </x:c>
      <x:c r="D9" s="163" t="str">
        <x:v>Trelles / Coaña</x:v>
      </x:c>
      <x:c r="E9" s="163" t="str">
        <x:v>Tradicional padre de Garci Sánchez</x:v>
      </x:c>
      <x:c r="F9" s="163" t="str">
        <x:v>MUY BAJA</x:v>
      </x:c>
      <x:c r="G9" s="163" t="str">
        <x:v>https://archive.org/stream/diccionariohist01pascgoog/diccionariohist01pascgoog_djvu.txt</x:v>
      </x:c>
      <x:c r="H9" s="163" t="str">
        <x:v>Sin confirmación medieval independiente localizada.</x:v>
      </x:c>
    </x:row>
    <x:row r="10">
      <x:c r="A10" s="163" t="str">
        <x:v>TRADICIÓN</x:v>
      </x:c>
      <x:c r="B10" s="163" t="str">
        <x:v>Diego García de Trelles (ID129)</x:v>
      </x:c>
      <x:c r="C10" s="163" t="str">
        <x:v>† 1385 según tradición</x:v>
      </x:c>
      <x:c r="D10" s="163" t="str">
        <x:v>Trelles / Aljubarrota</x:v>
      </x:c>
      <x:c r="E10" s="163" t="str">
        <x:v>Tradicional padre de Mendo Díaz</x:v>
      </x:c>
      <x:c r="F10" s="163" t="str">
        <x:v>MUY BAJA</x:v>
      </x:c>
      <x:c r="G10" s="163" t="str">
        <x:v>https://archive.org/stream/diccionariohist01pascgoog/diccionariohist01pascgoog_djvu.txt</x:v>
      </x:c>
      <x:c r="H10" s="163" t="str">
        <x:v>La genealogía antigua lo hace señor de Trelles y muerto en Aljubarrota; no probado por fuente primaria.</x:v>
      </x:c>
    </x:row>
  </x:sheetData>
  <x:pageMargins left="0.7" right="0.7" top="0.75" bottom="0.75" header="0.3" footer="0.3"/>
</x:worksheet>
</file>